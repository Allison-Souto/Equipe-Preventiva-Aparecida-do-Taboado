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.252\Obras\MEDIÇÕES\FISCAL - LUCAS\1 - EM ANDAMENTO\131 - 2024 - SOLO CONSTRUÇÕES E INCORPORAÇÕES LTDA\2 - EQUIPE PREVENTIVA\02 - Medições\15ª medição (JUNHO-26)\"/>
    </mc:Choice>
  </mc:AlternateContent>
  <xr:revisionPtr revIDLastSave="0" documentId="13_ncr:1_{1E985B34-D13B-47A8-9EE5-10695E6AB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2" i="1" l="1"/>
  <c r="J26" i="1"/>
  <c r="H9" i="1"/>
  <c r="I9" i="1" s="1"/>
  <c r="J9" i="1" s="1"/>
  <c r="H116" i="1" l="1"/>
  <c r="H115" i="1"/>
  <c r="H114" i="1"/>
  <c r="H113" i="1"/>
  <c r="H112" i="1"/>
  <c r="I112" i="1" s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I24" i="1" s="1"/>
  <c r="J24" i="1" s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I20" i="1" l="1"/>
  <c r="J20" i="1" s="1"/>
  <c r="I39" i="1"/>
  <c r="J39" i="1" s="1"/>
  <c r="I51" i="1"/>
  <c r="J51" i="1" s="1"/>
  <c r="I63" i="1"/>
  <c r="J63" i="1" s="1"/>
  <c r="I75" i="1"/>
  <c r="J75" i="1" s="1"/>
  <c r="I87" i="1"/>
  <c r="J87" i="1" s="1"/>
  <c r="I28" i="1"/>
  <c r="J28" i="1" s="1"/>
  <c r="I46" i="1"/>
  <c r="J46" i="1" s="1"/>
  <c r="I64" i="1"/>
  <c r="J64" i="1" s="1"/>
  <c r="I88" i="1"/>
  <c r="J88" i="1" s="1"/>
  <c r="I106" i="1"/>
  <c r="J106" i="1" s="1"/>
  <c r="I22" i="1"/>
  <c r="J22" i="1" s="1"/>
  <c r="I41" i="1"/>
  <c r="J41" i="1" s="1"/>
  <c r="I59" i="1"/>
  <c r="J59" i="1" s="1"/>
  <c r="I83" i="1"/>
  <c r="J83" i="1" s="1"/>
  <c r="I101" i="1"/>
  <c r="J101" i="1" s="1"/>
  <c r="I17" i="1"/>
  <c r="J17" i="1" s="1"/>
  <c r="I30" i="1"/>
  <c r="J30" i="1" s="1"/>
  <c r="I36" i="1"/>
  <c r="J36" i="1" s="1"/>
  <c r="I42" i="1"/>
  <c r="J42" i="1" s="1"/>
  <c r="I48" i="1"/>
  <c r="J48" i="1" s="1"/>
  <c r="I54" i="1"/>
  <c r="J54" i="1" s="1"/>
  <c r="I60" i="1"/>
  <c r="J60" i="1" s="1"/>
  <c r="I66" i="1"/>
  <c r="J66" i="1" s="1"/>
  <c r="I72" i="1"/>
  <c r="J72" i="1" s="1"/>
  <c r="I78" i="1"/>
  <c r="J78" i="1" s="1"/>
  <c r="I84" i="1"/>
  <c r="J84" i="1" s="1"/>
  <c r="I90" i="1"/>
  <c r="J90" i="1" s="1"/>
  <c r="I96" i="1"/>
  <c r="J96" i="1" s="1"/>
  <c r="I102" i="1"/>
  <c r="J102" i="1" s="1"/>
  <c r="I108" i="1"/>
  <c r="J108" i="1" s="1"/>
  <c r="I115" i="1"/>
  <c r="J115" i="1" s="1"/>
  <c r="I15" i="1"/>
  <c r="J15" i="1" s="1"/>
  <c r="I34" i="1"/>
  <c r="J34" i="1" s="1"/>
  <c r="I52" i="1"/>
  <c r="J52" i="1" s="1"/>
  <c r="I70" i="1"/>
  <c r="J70" i="1" s="1"/>
  <c r="I82" i="1"/>
  <c r="J82" i="1" s="1"/>
  <c r="I100" i="1"/>
  <c r="J100" i="1" s="1"/>
  <c r="I10" i="1"/>
  <c r="J10" i="1" s="1"/>
  <c r="I29" i="1"/>
  <c r="J29" i="1" s="1"/>
  <c r="I47" i="1"/>
  <c r="J47" i="1" s="1"/>
  <c r="I65" i="1"/>
  <c r="J65" i="1" s="1"/>
  <c r="I77" i="1"/>
  <c r="J77" i="1" s="1"/>
  <c r="I95" i="1"/>
  <c r="J95" i="1" s="1"/>
  <c r="I107" i="1"/>
  <c r="J107" i="1" s="1"/>
  <c r="I11" i="1"/>
  <c r="J11" i="1" s="1"/>
  <c r="I18" i="1"/>
  <c r="J18" i="1" s="1"/>
  <c r="I31" i="1"/>
  <c r="J31" i="1" s="1"/>
  <c r="I43" i="1"/>
  <c r="J43" i="1" s="1"/>
  <c r="I49" i="1"/>
  <c r="J49" i="1" s="1"/>
  <c r="I55" i="1"/>
  <c r="J55" i="1" s="1"/>
  <c r="I61" i="1"/>
  <c r="J61" i="1" s="1"/>
  <c r="I67" i="1"/>
  <c r="J67" i="1" s="1"/>
  <c r="I73" i="1"/>
  <c r="J73" i="1" s="1"/>
  <c r="I79" i="1"/>
  <c r="J79" i="1" s="1"/>
  <c r="I85" i="1"/>
  <c r="J85" i="1" s="1"/>
  <c r="I91" i="1"/>
  <c r="J91" i="1" s="1"/>
  <c r="I97" i="1"/>
  <c r="J97" i="1" s="1"/>
  <c r="I103" i="1"/>
  <c r="J103" i="1" s="1"/>
  <c r="I109" i="1"/>
  <c r="J109" i="1" s="1"/>
  <c r="I116" i="1"/>
  <c r="J116" i="1" s="1"/>
  <c r="I14" i="1"/>
  <c r="J14" i="1" s="1"/>
  <c r="I27" i="1"/>
  <c r="J27" i="1" s="1"/>
  <c r="I33" i="1"/>
  <c r="J33" i="1" s="1"/>
  <c r="I45" i="1"/>
  <c r="J45" i="1" s="1"/>
  <c r="I57" i="1"/>
  <c r="J57" i="1" s="1"/>
  <c r="I69" i="1"/>
  <c r="J69" i="1" s="1"/>
  <c r="I81" i="1"/>
  <c r="J81" i="1" s="1"/>
  <c r="I93" i="1"/>
  <c r="J93" i="1" s="1"/>
  <c r="I99" i="1"/>
  <c r="J99" i="1" s="1"/>
  <c r="I105" i="1"/>
  <c r="J105" i="1" s="1"/>
  <c r="I21" i="1"/>
  <c r="J21" i="1" s="1"/>
  <c r="I40" i="1"/>
  <c r="J40" i="1" s="1"/>
  <c r="I58" i="1"/>
  <c r="J58" i="1" s="1"/>
  <c r="I76" i="1"/>
  <c r="J76" i="1" s="1"/>
  <c r="I94" i="1"/>
  <c r="J94" i="1" s="1"/>
  <c r="I113" i="1"/>
  <c r="J113" i="1" s="1"/>
  <c r="J111" i="1" s="1"/>
  <c r="I16" i="1"/>
  <c r="J16" i="1" s="1"/>
  <c r="I35" i="1"/>
  <c r="J35" i="1" s="1"/>
  <c r="I53" i="1"/>
  <c r="J53" i="1" s="1"/>
  <c r="I71" i="1"/>
  <c r="J71" i="1" s="1"/>
  <c r="I89" i="1"/>
  <c r="J89" i="1" s="1"/>
  <c r="I114" i="1"/>
  <c r="J114" i="1" s="1"/>
  <c r="I12" i="1"/>
  <c r="J12" i="1" s="1"/>
  <c r="I25" i="1"/>
  <c r="J25" i="1" s="1"/>
  <c r="I37" i="1"/>
  <c r="J37" i="1" s="1"/>
  <c r="I13" i="1"/>
  <c r="J13" i="1" s="1"/>
  <c r="I19" i="1"/>
  <c r="J19" i="1" s="1"/>
  <c r="I26" i="1"/>
  <c r="I32" i="1"/>
  <c r="J32" i="1" s="1"/>
  <c r="I38" i="1"/>
  <c r="J38" i="1" s="1"/>
  <c r="I44" i="1"/>
  <c r="J44" i="1" s="1"/>
  <c r="I50" i="1"/>
  <c r="J50" i="1" s="1"/>
  <c r="I56" i="1"/>
  <c r="J56" i="1" s="1"/>
  <c r="I62" i="1"/>
  <c r="J62" i="1" s="1"/>
  <c r="I68" i="1"/>
  <c r="J68" i="1" s="1"/>
  <c r="I74" i="1"/>
  <c r="J74" i="1" s="1"/>
  <c r="I80" i="1"/>
  <c r="J80" i="1" s="1"/>
  <c r="I86" i="1"/>
  <c r="J86" i="1" s="1"/>
  <c r="I92" i="1"/>
  <c r="J92" i="1" s="1"/>
  <c r="I98" i="1"/>
  <c r="J98" i="1" s="1"/>
  <c r="I104" i="1"/>
  <c r="J104" i="1" s="1"/>
  <c r="I110" i="1"/>
  <c r="J110" i="1" s="1"/>
  <c r="J8" i="1" l="1"/>
  <c r="K1" i="1" s="1"/>
  <c r="J23" i="1"/>
  <c r="H118" i="1" l="1"/>
  <c r="K4" i="1" s="1"/>
  <c r="K9" i="1" l="1"/>
  <c r="K87" i="1"/>
  <c r="K41" i="1"/>
  <c r="K78" i="1"/>
  <c r="K52" i="1"/>
  <c r="K95" i="1"/>
  <c r="K67" i="1"/>
  <c r="K14" i="1"/>
  <c r="K105" i="1"/>
  <c r="K53" i="1"/>
  <c r="K26" i="1"/>
  <c r="K80" i="1"/>
  <c r="K37" i="1"/>
  <c r="K83" i="1"/>
  <c r="K112" i="1"/>
  <c r="K88" i="1"/>
  <c r="K51" i="1"/>
  <c r="K28" i="1"/>
  <c r="K60" i="1"/>
  <c r="K115" i="1"/>
  <c r="K47" i="1"/>
  <c r="K49" i="1"/>
  <c r="K103" i="1"/>
  <c r="K81" i="1"/>
  <c r="K113" i="1"/>
  <c r="K62" i="1"/>
  <c r="K24" i="1"/>
  <c r="K22" i="1"/>
  <c r="K42" i="1"/>
  <c r="K96" i="1"/>
  <c r="K100" i="1"/>
  <c r="K18" i="1"/>
  <c r="K85" i="1"/>
  <c r="K45" i="1"/>
  <c r="K58" i="1"/>
  <c r="K114" i="1"/>
  <c r="K44" i="1"/>
  <c r="K98" i="1"/>
  <c r="K64" i="1"/>
  <c r="K101" i="1"/>
  <c r="K19" i="1"/>
  <c r="K34" i="1"/>
  <c r="K93" i="1"/>
  <c r="K46" i="1"/>
  <c r="K38" i="1"/>
  <c r="K71" i="1"/>
  <c r="K84" i="1"/>
  <c r="K94" i="1"/>
  <c r="K54" i="1"/>
  <c r="K82" i="1"/>
  <c r="K57" i="1"/>
  <c r="K35" i="1"/>
  <c r="K72" i="1"/>
  <c r="K109" i="1"/>
  <c r="K63" i="1"/>
  <c r="K40" i="1"/>
  <c r="K21" i="1"/>
  <c r="K30" i="1"/>
  <c r="K69" i="1"/>
  <c r="K17" i="1"/>
  <c r="K86" i="1"/>
  <c r="K91" i="1"/>
  <c r="K97" i="1"/>
  <c r="K31" i="1"/>
  <c r="K116" i="1"/>
  <c r="K65" i="1"/>
  <c r="K90" i="1"/>
  <c r="K110" i="1"/>
  <c r="K111" i="1"/>
  <c r="K102" i="1"/>
  <c r="K13" i="1"/>
  <c r="K36" i="1"/>
  <c r="K56" i="1"/>
  <c r="K48" i="1"/>
  <c r="K104" i="1"/>
  <c r="K50" i="1"/>
  <c r="K61" i="1"/>
  <c r="K12" i="1"/>
  <c r="K99" i="1"/>
  <c r="K75" i="1"/>
  <c r="K55" i="1"/>
  <c r="K89" i="1"/>
  <c r="K11" i="1"/>
  <c r="K27" i="1"/>
  <c r="K59" i="1"/>
  <c r="K39" i="1"/>
  <c r="K10" i="1"/>
  <c r="K68" i="1"/>
  <c r="K106" i="1"/>
  <c r="K73" i="1"/>
  <c r="K43" i="1"/>
  <c r="K8" i="1"/>
  <c r="K15" i="1"/>
  <c r="K107" i="1"/>
  <c r="K33" i="1"/>
  <c r="K77" i="1"/>
  <c r="K16" i="1"/>
  <c r="K66" i="1"/>
  <c r="K92" i="1"/>
  <c r="K32" i="1"/>
  <c r="K70" i="1"/>
  <c r="K25" i="1"/>
  <c r="K108" i="1"/>
  <c r="K79" i="1"/>
  <c r="K76" i="1"/>
  <c r="K20" i="1"/>
  <c r="K74" i="1"/>
  <c r="K29" i="1"/>
  <c r="K23" i="1"/>
</calcChain>
</file>

<file path=xl/sharedStrings.xml><?xml version="1.0" encoding="utf-8"?>
<sst xmlns="http://schemas.openxmlformats.org/spreadsheetml/2006/main" count="565" uniqueCount="379">
  <si>
    <t>Obra</t>
  </si>
  <si>
    <t>Bancos</t>
  </si>
  <si>
    <t>B.D.I.</t>
  </si>
  <si>
    <t>Encargos Sociais</t>
  </si>
  <si>
    <t xml:space="preserve">SINAPI - 05/2026 - Mato Grosso do Sul
SBC - 05/2026 - Mato Grosso do Sul
SICRO3 - 04/2026 - Mato Grosso do Sul
ORSE - 05/2026 - Sergipe
SEDOP - 03/2026 - Pará
SEINFRA - 028 - Ceará
SETOP - 04/2026 - Minas Gerais
IOPES - 04/2026 - Espírito Santo
SIURB - 01/2026 - São Paulo
SIURB INFRA - 01/2026 - São Paulo
SUDECAP - 04/2026 - Minas Gerais
CPOS/CDHU - 04/2026 - São Paulo
FDE - 04/2026 - São Paulo
AGESUL - 01/2026 - Mato Grosso do Sul
AGETOP CIVIL - 04/2026 - Goiás
AGETOP RODOVIARIA - 04/2026 - Goiás
CAEMA - 12/2019 - Maranhão
EMBASA - 01/2026 - sem_encargos
CAERN - 01/2026 - Rio Grande do Norte
</t>
  </si>
  <si>
    <t>26,93%</t>
  </si>
  <si>
    <t>Desonerado: embutido nos preços unitário dos insumos de mão de obra, de acordo com as bases.</t>
  </si>
  <si>
    <t>Orçamento Sintético com Fórmulas</t>
  </si>
  <si>
    <t>Valor Final do Orçamento</t>
  </si>
  <si>
    <t>BDI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</si>
  <si>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</si>
  <si>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</si>
  <si>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</si>
  <si>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</si>
  <si>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</si>
  <si>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</si>
  <si>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</si>
  <si>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</si>
  <si>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</si>
  <si>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</si>
  <si>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</si>
  <si>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</si>
  <si>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TÉCNICO-PROFISSIONAIS</t>
  </si>
  <si>
    <t/>
  </si>
  <si>
    <t xml:space="preserve"> 1.1 </t>
  </si>
  <si>
    <t xml:space="preserve"> 90772 </t>
  </si>
  <si>
    <t>SINAPI</t>
  </si>
  <si>
    <t>AUXILIAR DE ESCRITORIO COM ENCARGOS COMPLEMENTARES</t>
  </si>
  <si>
    <t>H</t>
  </si>
  <si>
    <t xml:space="preserve"> 1.2 </t>
  </si>
  <si>
    <t xml:space="preserve"> 90766 </t>
  </si>
  <si>
    <t>ALMOXARIFE COM ENCARGOS COMPLEMENTARES</t>
  </si>
  <si>
    <t xml:space="preserve"> 1.3 </t>
  </si>
  <si>
    <t xml:space="preserve"> 88284 </t>
  </si>
  <si>
    <t>MOTORISTA DE VEÍCULO LEVE COM ENCARGOS COMPLEMENTARES</t>
  </si>
  <si>
    <t xml:space="preserve"> 1.4 </t>
  </si>
  <si>
    <t xml:space="preserve"> 100301 </t>
  </si>
  <si>
    <t>AJUDANTE DE PINTOR COM ENCARGOS COMPLEMENTARES</t>
  </si>
  <si>
    <t xml:space="preserve"> 1.5 </t>
  </si>
  <si>
    <t xml:space="preserve"> 88310 </t>
  </si>
  <si>
    <t>PINTOR COM ENCARGOS COMPLEMENTARES</t>
  </si>
  <si>
    <t xml:space="preserve"> 1.6 </t>
  </si>
  <si>
    <t xml:space="preserve"> 88247 </t>
  </si>
  <si>
    <t>AUXILIAR DE ELETRICISTA COM ENCARGOS COMPLEMENTARES</t>
  </si>
  <si>
    <t xml:space="preserve"> 1.7 </t>
  </si>
  <si>
    <t xml:space="preserve"> 88264 </t>
  </si>
  <si>
    <t>ELETRICISTA COM ENCARGOS COMPLEMENTARES</t>
  </si>
  <si>
    <t xml:space="preserve"> 1.8 </t>
  </si>
  <si>
    <t xml:space="preserve"> 88248 </t>
  </si>
  <si>
    <t>AUXILIAR DE ENCANADOR OU BOMBEIRO HIDRÁULICO COM ENCARGOS COMPLEMENTARES</t>
  </si>
  <si>
    <t xml:space="preserve"> 1.9 </t>
  </si>
  <si>
    <t xml:space="preserve"> 88267 </t>
  </si>
  <si>
    <t>ENCANADOR OU BOMBEIRO HIDRÁULICO COM ENCARGOS COMPLEMENTARES</t>
  </si>
  <si>
    <t xml:space="preserve"> 1.10 </t>
  </si>
  <si>
    <t xml:space="preserve"> 90780 </t>
  </si>
  <si>
    <t>MESTRE DE OBRAS COM ENCARGOS COMPLEMENTARES</t>
  </si>
  <si>
    <t xml:space="preserve"> 1.11 </t>
  </si>
  <si>
    <t xml:space="preserve"> 88309 </t>
  </si>
  <si>
    <t>PEDREIRO COM ENCARGOS COMPLEMENTARES</t>
  </si>
  <si>
    <t xml:space="preserve"> 1.12 </t>
  </si>
  <si>
    <t xml:space="preserve"> 88255 </t>
  </si>
  <si>
    <t>AUXILIAR TÉCNICO DE ENGENHARIA COM ENCARGOS COMPLEMENTARES</t>
  </si>
  <si>
    <t xml:space="preserve"> 1.13 </t>
  </si>
  <si>
    <t xml:space="preserve"> 88316 </t>
  </si>
  <si>
    <t>SERVENTE COM ENCARGOS COMPLEMENTARES</t>
  </si>
  <si>
    <t xml:space="preserve"> 1.14 </t>
  </si>
  <si>
    <t xml:space="preserve"> 90779 </t>
  </si>
  <si>
    <t>ENGENHEIRO CIVIL DE OBRA SENIOR COM ENCARGOS COMPLEMENTARES</t>
  </si>
  <si>
    <t xml:space="preserve"> 2 </t>
  </si>
  <si>
    <t>INSUMOS</t>
  </si>
  <si>
    <t xml:space="preserve"> 2.1 </t>
  </si>
  <si>
    <t xml:space="preserve"> 00000366 </t>
  </si>
  <si>
    <t>AREIA FINA - POSTO JAZIDA/FORNECEDOR (RETIRADO NA JAZIDA, SEM TRANSPORTE)</t>
  </si>
  <si>
    <t>m³</t>
  </si>
  <si>
    <t xml:space="preserve"> 2.2 </t>
  </si>
  <si>
    <t xml:space="preserve"> 00000367 </t>
  </si>
  <si>
    <t>AREIA GROSSA - POSTO JAZIDA/FORNECEDOR (RETIRADO NA JAZIDA, SEM TRANSPORTE)</t>
  </si>
  <si>
    <t xml:space="preserve"> 2.3 </t>
  </si>
  <si>
    <t xml:space="preserve"> 00004721 </t>
  </si>
  <si>
    <t>PEDRA BRITADA N. 1 (9,5 A 19 MM) POSTO PEDREIRA/FORNECEDOR, SEM FRETE</t>
  </si>
  <si>
    <t xml:space="preserve"> 2.4 </t>
  </si>
  <si>
    <t xml:space="preserve"> 00007258 </t>
  </si>
  <si>
    <t>TIJOLO CERAMICO MACICO COMUM DE *5 X 10 X 20* CM (L X A X C)</t>
  </si>
  <si>
    <t>UN</t>
  </si>
  <si>
    <t xml:space="preserve"> 2.5 </t>
  </si>
  <si>
    <t xml:space="preserve"> 00001379 </t>
  </si>
  <si>
    <t>CIMENTO PORTLAND COMPOSTO CP II-32</t>
  </si>
  <si>
    <t>KG</t>
  </si>
  <si>
    <t xml:space="preserve"> 2.6 </t>
  </si>
  <si>
    <t xml:space="preserve"> 040171 </t>
  </si>
  <si>
    <t>SBC</t>
  </si>
  <si>
    <t>ANEL DE CERA PARA VEDACAO DE VASO SANITARIO DECA</t>
  </si>
  <si>
    <t xml:space="preserve"> 2.7 </t>
  </si>
  <si>
    <t xml:space="preserve"> 00000033 </t>
  </si>
  <si>
    <t>ACO CA-50, 8,0 MM, VERGALHAO</t>
  </si>
  <si>
    <t xml:space="preserve"> 2.8 </t>
  </si>
  <si>
    <t xml:space="preserve"> 005716 </t>
  </si>
  <si>
    <t>NIPLE PVC ROSCA 1"</t>
  </si>
  <si>
    <t xml:space="preserve"> 2.9 </t>
  </si>
  <si>
    <t xml:space="preserve"> 5163 </t>
  </si>
  <si>
    <t>ORSE</t>
  </si>
  <si>
    <t>Adaptador pead 32mm x 1"</t>
  </si>
  <si>
    <t>un</t>
  </si>
  <si>
    <t xml:space="preserve"> 2.10 </t>
  </si>
  <si>
    <t xml:space="preserve"> 005727 </t>
  </si>
  <si>
    <t>PLUG PVC ROSCAVEL 1"</t>
  </si>
  <si>
    <t xml:space="preserve"> 2.11 </t>
  </si>
  <si>
    <t xml:space="preserve"> 005622 </t>
  </si>
  <si>
    <t>LUVA PVC SOLDAVEL 32mm</t>
  </si>
  <si>
    <t xml:space="preserve"> 2.12 </t>
  </si>
  <si>
    <t xml:space="preserve"> 2684 </t>
  </si>
  <si>
    <t>Argamassa industrializada Votomassa AC-II, ou similar</t>
  </si>
  <si>
    <t>kg</t>
  </si>
  <si>
    <t xml:space="preserve"> 2.13 </t>
  </si>
  <si>
    <t xml:space="preserve"> 031196 </t>
  </si>
  <si>
    <t>LUVA 3/4" TIGREFIRE</t>
  </si>
  <si>
    <t xml:space="preserve"> 2.14 </t>
  </si>
  <si>
    <t xml:space="preserve"> 73.41.03 </t>
  </si>
  <si>
    <t>SUDECAP</t>
  </si>
  <si>
    <t>ENGATE / RABICHO FLEXÍVEL INOX 1/2" X 40CM REF 11684</t>
  </si>
  <si>
    <t xml:space="preserve"> 2.15 </t>
  </si>
  <si>
    <t xml:space="preserve"> 003819 </t>
  </si>
  <si>
    <t>TUBO DE LIGACAO 1.1/2"x25cm AJUSTAVEL VASO SANITARIO</t>
  </si>
  <si>
    <t xml:space="preserve"> 2.16 </t>
  </si>
  <si>
    <t xml:space="preserve"> 00011671 </t>
  </si>
  <si>
    <t>REGISTRO DE ESFERA, PVC, COM VOLANTE, VS, ROSCAVEL, DN 2", COM CORPO DIVIDIDO</t>
  </si>
  <si>
    <t xml:space="preserve"> 2.17 </t>
  </si>
  <si>
    <t xml:space="preserve"> 001234 </t>
  </si>
  <si>
    <t>PORTA DE MADEIRA LISA PARA VERNIZ 0,80x2,10m</t>
  </si>
  <si>
    <t xml:space="preserve"> 2.18 </t>
  </si>
  <si>
    <t xml:space="preserve"> 012726 </t>
  </si>
  <si>
    <t>FECHADURA EXTERNA REF 6236 LA FONTE</t>
  </si>
  <si>
    <t xml:space="preserve"> 2.19 </t>
  </si>
  <si>
    <t xml:space="preserve"> 004128 </t>
  </si>
  <si>
    <t>FERRAMENTA - PA QUADRADA COM CABO TRAMONTINA</t>
  </si>
  <si>
    <t xml:space="preserve"> 2.20 </t>
  </si>
  <si>
    <t xml:space="preserve"> 00044019 </t>
  </si>
  <si>
    <t>BACIA SANITARIA (VASO) COM CAIXA ACOPLADA, SIFAO OCULTO / CARENADO, DE LOUCA BRANCA (SEM ASSENTO) - PADRAO ALTO</t>
  </si>
  <si>
    <t xml:space="preserve"> 2.21 </t>
  </si>
  <si>
    <t xml:space="preserve"> 00001093 </t>
  </si>
  <si>
    <t>ARMACAO VERTICAL COM HASTE E CONTRA-PINO, EM CHAPA DE ACO GALVANIZADO 3/16", COM 3 ESTRIBOS E 3 ISOLADORES</t>
  </si>
  <si>
    <t xml:space="preserve"> 2.22 </t>
  </si>
  <si>
    <t xml:space="preserve"> 044666 </t>
  </si>
  <si>
    <t>IOPES</t>
  </si>
  <si>
    <t>MINI DISJUNTOR BIPOLAR 25A CURVA C 5KA 220/127V</t>
  </si>
  <si>
    <t xml:space="preserve"> 2.23 </t>
  </si>
  <si>
    <t xml:space="preserve"> 4.17.74 </t>
  </si>
  <si>
    <t>FDE</t>
  </si>
  <si>
    <t>CONTACTOR TRIPOLAR ATE 32A</t>
  </si>
  <si>
    <t xml:space="preserve"> 2.24 </t>
  </si>
  <si>
    <t xml:space="preserve"> 3494 </t>
  </si>
  <si>
    <t>Timer digital 7LF4-4210 Siemens</t>
  </si>
  <si>
    <t xml:space="preserve"> 2.25 </t>
  </si>
  <si>
    <t xml:space="preserve"> MAT120900 </t>
  </si>
  <si>
    <t>SCO</t>
  </si>
  <si>
    <t>Rele de falta de fase, 220V/60Hz</t>
  </si>
  <si>
    <t xml:space="preserve"> 2.26 </t>
  </si>
  <si>
    <t xml:space="preserve"> 3102 </t>
  </si>
  <si>
    <t>AGETOP CIVIL</t>
  </si>
  <si>
    <t>CABO FLEXIVEL PARALELO 2 X 2,5 MM2</t>
  </si>
  <si>
    <t>m</t>
  </si>
  <si>
    <t xml:space="preserve"> 2.27 </t>
  </si>
  <si>
    <t xml:space="preserve"> 00007194 </t>
  </si>
  <si>
    <t>TELHA DE FIBROCIMENTO ONDULADA E = 6 MM, DE 2,44 X 1,10 M (SEM AMIANTO)</t>
  </si>
  <si>
    <t>m²</t>
  </si>
  <si>
    <t xml:space="preserve"> 2.28 </t>
  </si>
  <si>
    <t xml:space="preserve"> 022585 </t>
  </si>
  <si>
    <t>BLOCO CERÂMICO 08 FUROS 09X19X19CM - PRAÇA VITÓRIA</t>
  </si>
  <si>
    <t xml:space="preserve"> 2.29 </t>
  </si>
  <si>
    <t xml:space="preserve"> 005179 </t>
  </si>
  <si>
    <t>TINTA SPRAY BRANCA OU AMARELA COLORGIN (400ml)</t>
  </si>
  <si>
    <t xml:space="preserve"> 2.30 </t>
  </si>
  <si>
    <t xml:space="preserve"> 00020111 </t>
  </si>
  <si>
    <t>FITA ISOLANTE ADESIVA ANTICHAMA, USO ATE 750 V, EM ROLO DE 19 MM X 20 M</t>
  </si>
  <si>
    <t xml:space="preserve"> 2.31 </t>
  </si>
  <si>
    <t xml:space="preserve"> 003580 </t>
  </si>
  <si>
    <t>CABO SUPERASTIC FLEX 450/750V 4mm2 CORES DIVERSAS</t>
  </si>
  <si>
    <t>M</t>
  </si>
  <si>
    <t xml:space="preserve"> 2.32 </t>
  </si>
  <si>
    <t xml:space="preserve"> 049208 </t>
  </si>
  <si>
    <t>ABRACADEIRA TIPO UNHA 2.1/2"</t>
  </si>
  <si>
    <t xml:space="preserve"> 2.33 </t>
  </si>
  <si>
    <t xml:space="preserve"> MATED-4376 </t>
  </si>
  <si>
    <t>SETOP</t>
  </si>
  <si>
    <t>PARAFUSO (ROSCA: AUTOATARRAXANTE|CABEÇA: PANELA PHILIPS|COMPRIMENTO: 60MM|DIÂMETRO: 4,8MM)</t>
  </si>
  <si>
    <t xml:space="preserve"> 2.34 </t>
  </si>
  <si>
    <t xml:space="preserve"> MATED-11886 </t>
  </si>
  <si>
    <t>SUPORTE OU GANCHO PARA LUMINÁRIA EM PERFILADO (TIPO: CURTO|MATERIAL: CHAPA DE AÇO|TRATAMENTO: PRÉ-ZINCADO|COMPRIMENTO: 100MM)</t>
  </si>
  <si>
    <t xml:space="preserve"> 2.35 </t>
  </si>
  <si>
    <t xml:space="preserve"> 00012893 </t>
  </si>
  <si>
    <t>BOTA DE SEGURANCA COM BIQUEIRA DE ACO E COLARINHO ACOLCHOADO</t>
  </si>
  <si>
    <t>PAR</t>
  </si>
  <si>
    <t xml:space="preserve"> 2.36 </t>
  </si>
  <si>
    <t xml:space="preserve"> 026548 </t>
  </si>
  <si>
    <t>BUCHA PLASTICA COM PARAFUSO - 8MM</t>
  </si>
  <si>
    <t xml:space="preserve"> 2.37 </t>
  </si>
  <si>
    <t xml:space="preserve"> 00000412 </t>
  </si>
  <si>
    <t>ABRACADEIRA DE NYLON PARA AMARRACAO DE CABOS, COMPRIMENTO DE *230* X *7,6* MM</t>
  </si>
  <si>
    <t xml:space="preserve"> 2.38 </t>
  </si>
  <si>
    <t xml:space="preserve"> 11024 </t>
  </si>
  <si>
    <t>AGETOP RODOVIARIA</t>
  </si>
  <si>
    <t>PARAFUSO</t>
  </si>
  <si>
    <t xml:space="preserve"> 2.39 </t>
  </si>
  <si>
    <t xml:space="preserve"> 11427 </t>
  </si>
  <si>
    <t>Rodo plástico 60 cm</t>
  </si>
  <si>
    <t xml:space="preserve"> 2.40 </t>
  </si>
  <si>
    <t xml:space="preserve"> 14477 </t>
  </si>
  <si>
    <t>Luminária plafon de sobrepor em LED 22.5x22.5 cm, 18w 4000K bivolt, Avant ou similar</t>
  </si>
  <si>
    <t xml:space="preserve"> 2.41 </t>
  </si>
  <si>
    <t xml:space="preserve"> 2.40.96 </t>
  </si>
  <si>
    <t>SILICONE</t>
  </si>
  <si>
    <t xml:space="preserve"> 2.42 </t>
  </si>
  <si>
    <t xml:space="preserve"> H00428 </t>
  </si>
  <si>
    <t>SEDOP</t>
  </si>
  <si>
    <t>Bucha de redução JS 25x20mm (LH)</t>
  </si>
  <si>
    <t xml:space="preserve"> 2.43 </t>
  </si>
  <si>
    <t xml:space="preserve"> 3.80.60 </t>
  </si>
  <si>
    <t>TINNER</t>
  </si>
  <si>
    <t>L</t>
  </si>
  <si>
    <t xml:space="preserve"> 2.44 </t>
  </si>
  <si>
    <t xml:space="preserve"> 00003873 </t>
  </si>
  <si>
    <t>LUVA DE CORRER PARA TUBO SOLDAVEL, PVC, 25 MM, PARA AGUA FRIA PREDIAL</t>
  </si>
  <si>
    <t xml:space="preserve"> 2.45 </t>
  </si>
  <si>
    <t xml:space="preserve"> 00038021 </t>
  </si>
  <si>
    <t>LUVA DE CORRER PARA TUBO SOLDAVEL, PVC, 32 MM, PARA AGUA FRIA PREDIAL</t>
  </si>
  <si>
    <t xml:space="preserve"> 2.46 </t>
  </si>
  <si>
    <t xml:space="preserve"> 00044531 </t>
  </si>
  <si>
    <t>DISCO DE CORTE DIAMANTADO SEGMENTADO DIAMETRO DE 180 MM PARA ESMERILHADEIRA 7"</t>
  </si>
  <si>
    <t xml:space="preserve"> 2.47 </t>
  </si>
  <si>
    <t xml:space="preserve"> 00038124 </t>
  </si>
  <si>
    <t>ESPUMA EXPANSIVA DE POLIURETANO, APLICACAO MANUAL - 500 ML</t>
  </si>
  <si>
    <t xml:space="preserve"> 2.48 </t>
  </si>
  <si>
    <t xml:space="preserve"> MAT047500 </t>
  </si>
  <si>
    <t>Disco de corte, com diametro de 7"</t>
  </si>
  <si>
    <t xml:space="preserve"> 2.49 </t>
  </si>
  <si>
    <t xml:space="preserve"> 05751 </t>
  </si>
  <si>
    <t>EMOP</t>
  </si>
  <si>
    <t>CAIXA DE LUZ DE PVC, DE 4"x4"</t>
  </si>
  <si>
    <t xml:space="preserve"> 2.50 </t>
  </si>
  <si>
    <t xml:space="preserve"> 1862 </t>
  </si>
  <si>
    <t>PREGO 19x27</t>
  </si>
  <si>
    <t>Kg</t>
  </si>
  <si>
    <t xml:space="preserve"> 2.51 </t>
  </si>
  <si>
    <t xml:space="preserve"> MATED-13881 </t>
  </si>
  <si>
    <t>CHAPA GALVANIZADA (TIPO: LAMBRIL ONDULADA OU BÚZIOS|BITOLA: #18|ESPESSURA: 1,25MM|MATERIAL: AÇO GALVANIZADO|ACABAMENTO: NATURAL|MASSA LINEAR: 9,81KG/M2)</t>
  </si>
  <si>
    <t xml:space="preserve"> 2.52 </t>
  </si>
  <si>
    <t xml:space="preserve"> 039114 </t>
  </si>
  <si>
    <t>ELETRODUTO FLEXIVEL KANALEX 5"</t>
  </si>
  <si>
    <t xml:space="preserve"> 2.53 </t>
  </si>
  <si>
    <t xml:space="preserve"> P.03.000.042622 </t>
  </si>
  <si>
    <t>CPOS/CDHU</t>
  </si>
  <si>
    <t>Duto corrugado tipo Kanalex-KL, DN= 50mm</t>
  </si>
  <si>
    <t xml:space="preserve"> 2.54 </t>
  </si>
  <si>
    <t xml:space="preserve"> 00044327 </t>
  </si>
  <si>
    <t>COLA PARA TUBOS E MANTAS ELASTOMERICAS, A BASE DE SOLVENTE</t>
  </si>
  <si>
    <t xml:space="preserve"> 2.55 </t>
  </si>
  <si>
    <t xml:space="preserve"> 13553 </t>
  </si>
  <si>
    <t>Adesivo selante impermeável PU Selamax Brasilit ou similar</t>
  </si>
  <si>
    <t xml:space="preserve"> 2.56 </t>
  </si>
  <si>
    <t xml:space="preserve"> 035861 </t>
  </si>
  <si>
    <t>FERRAMENTA - BROCA PARA CONCRETO 19x340mm SDS MAX</t>
  </si>
  <si>
    <t xml:space="preserve"> 2.57 </t>
  </si>
  <si>
    <t xml:space="preserve"> M3523 </t>
  </si>
  <si>
    <t>SICRO3</t>
  </si>
  <si>
    <t>Pneu reaproveitado</t>
  </si>
  <si>
    <t xml:space="preserve"> 2.58 </t>
  </si>
  <si>
    <t xml:space="preserve"> M1401 </t>
  </si>
  <si>
    <t>Bico de adesão para injeção de adesivo estrutural à base de resina epóxi</t>
  </si>
  <si>
    <t xml:space="preserve"> 2.59 </t>
  </si>
  <si>
    <t xml:space="preserve"> 00038400 </t>
  </si>
  <si>
    <t>VASSOURA 40 CM COM CABO</t>
  </si>
  <si>
    <t xml:space="preserve"> 2.60 </t>
  </si>
  <si>
    <t xml:space="preserve"> 00038401 </t>
  </si>
  <si>
    <t>RODO PARA CHAO 40 CM, COM BORRACHA DUPLA E CABO</t>
  </si>
  <si>
    <t xml:space="preserve"> 2.61 </t>
  </si>
  <si>
    <t xml:space="preserve"> 005041 </t>
  </si>
  <si>
    <t>LUMINARIA PUBLICA COM POLICARBONATO PRISMATICO 250W E40 LP30</t>
  </si>
  <si>
    <t xml:space="preserve"> 2.62 </t>
  </si>
  <si>
    <t xml:space="preserve"> 064006 </t>
  </si>
  <si>
    <t>VALVULA DE PVC 1" PARA LAVATORIO C/ UNHO</t>
  </si>
  <si>
    <t xml:space="preserve"> 2.63 </t>
  </si>
  <si>
    <t xml:space="preserve"> 00043142 </t>
  </si>
  <si>
    <t>SELANTE MONOCOMPONENTE A BASE DE SILICONE DE BAIXO MODULO, PARA JUNTAS DE PAVIMENTACAO</t>
  </si>
  <si>
    <t xml:space="preserve"> 2.64 </t>
  </si>
  <si>
    <t xml:space="preserve"> 00011684 </t>
  </si>
  <si>
    <t>ENGATE / RABICHO FLEXIVEL INOX 1/2" X 40 CM</t>
  </si>
  <si>
    <t xml:space="preserve"> 2.65 </t>
  </si>
  <si>
    <t xml:space="preserve"> 00044945 </t>
  </si>
  <si>
    <t>SIFAO / TUBO SINFONADO EXTENSIVEL/SANFONADO, UNIVERSAL/ SIMPLES, ENTRE *50 A 70* CM, DE PLASTICO BRANCO</t>
  </si>
  <si>
    <t xml:space="preserve"> 2.66 </t>
  </si>
  <si>
    <t xml:space="preserve"> 484 </t>
  </si>
  <si>
    <t>Caixa sobrepor 4" x 2", sistema "x"</t>
  </si>
  <si>
    <t xml:space="preserve"> 2.67 </t>
  </si>
  <si>
    <t xml:space="preserve"> 045519 </t>
  </si>
  <si>
    <t>TOMADA (MODULO) PAD BRAS 2 P+T 20A/250V NBR 14136 S/ ESPELH</t>
  </si>
  <si>
    <t xml:space="preserve"> 2.68 </t>
  </si>
  <si>
    <t xml:space="preserve"> E00063 </t>
  </si>
  <si>
    <t>Interruptor 1 tecla e 1 tomada 10A - 250V</t>
  </si>
  <si>
    <t xml:space="preserve"> 2.69 </t>
  </si>
  <si>
    <t xml:space="preserve"> 004050 </t>
  </si>
  <si>
    <t>LUVA DE REDUCAO PARA TUBO PEX, PARA CONEXAO COM CRIMPAGEM, DN 32 x 25mm</t>
  </si>
  <si>
    <t xml:space="preserve"> 2.70 </t>
  </si>
  <si>
    <t xml:space="preserve"> MAT073950 </t>
  </si>
  <si>
    <t>Joelho de PVC rigido marrom, 90o, soldavel, de 32mm</t>
  </si>
  <si>
    <t xml:space="preserve"> 2.71 </t>
  </si>
  <si>
    <t xml:space="preserve"> 045158 </t>
  </si>
  <si>
    <t>ELETRODUTO FLEXIVEL SEALTUBE 1/2"</t>
  </si>
  <si>
    <t xml:space="preserve"> 2.72 </t>
  </si>
  <si>
    <t xml:space="preserve"> MAT045350 </t>
  </si>
  <si>
    <t>Curva de PVC rigido, 90o, curta, PB, JE, para coletor de esgoto, diametro nominal de 100mm</t>
  </si>
  <si>
    <t xml:space="preserve"> 2.73 </t>
  </si>
  <si>
    <t xml:space="preserve"> 043620 </t>
  </si>
  <si>
    <t>LUVA DE CORRER PVC ESGOTO REFORCADO SERIE R 50mm</t>
  </si>
  <si>
    <t xml:space="preserve"> 2.74 </t>
  </si>
  <si>
    <t xml:space="preserve"> 00011830 </t>
  </si>
  <si>
    <t>TORNEIRA DE BOIA CONVENCIONAL PARA CAIXA D'AGUA, AGUA FRIA, 3/4", COM HASTE E TORNEIRA METALICOS E BALAO PLASTICO</t>
  </si>
  <si>
    <t xml:space="preserve"> 2.75 </t>
  </si>
  <si>
    <t xml:space="preserve"> M3245 </t>
  </si>
  <si>
    <t>Tinta plástica à base de resina metacrílica aplicada a frio por aspersão (spray)</t>
  </si>
  <si>
    <t xml:space="preserve"> 2.76 </t>
  </si>
  <si>
    <t xml:space="preserve"> 2855 </t>
  </si>
  <si>
    <t>SACO PLÁSTICO PARA LIXO DE 50 LITROS</t>
  </si>
  <si>
    <t xml:space="preserve"> 2.77 </t>
  </si>
  <si>
    <t xml:space="preserve"> 007296 </t>
  </si>
  <si>
    <t>EPI - LUVA DE VAQUETA CANO CURTO</t>
  </si>
  <si>
    <t xml:space="preserve"> 2.78 </t>
  </si>
  <si>
    <t xml:space="preserve"> E00339 </t>
  </si>
  <si>
    <t>Bucha plastica-6mm c/ parafuso</t>
  </si>
  <si>
    <t xml:space="preserve"> 2.79 </t>
  </si>
  <si>
    <t xml:space="preserve"> E00726 </t>
  </si>
  <si>
    <t>Cabo "PP" 4x2,5mm</t>
  </si>
  <si>
    <t xml:space="preserve"> 2.80 </t>
  </si>
  <si>
    <t xml:space="preserve"> 11558 </t>
  </si>
  <si>
    <t>CONECTOR PERFURANTE REDE SUBTERRANEA TEN SAO 6,0/1KV, IP-68, PRINCIPAL 35 A 120MM 2, DERIVACAO 25 A 50MM2</t>
  </si>
  <si>
    <t xml:space="preserve"> 2.81 </t>
  </si>
  <si>
    <t xml:space="preserve"> 8518 </t>
  </si>
  <si>
    <t>Plafon plastico branco com soquete E-27</t>
  </si>
  <si>
    <t xml:space="preserve"> 2.82 </t>
  </si>
  <si>
    <t xml:space="preserve"> 2.83 </t>
  </si>
  <si>
    <t xml:space="preserve"> 042714 </t>
  </si>
  <si>
    <t>TE PVC ESGOTO REDUX / SILENTIUM 100mm</t>
  </si>
  <si>
    <t xml:space="preserve"> 2.84 </t>
  </si>
  <si>
    <t xml:space="preserve"> 004377 </t>
  </si>
  <si>
    <t>LUVA PVC SIMPLES ESGOTO SERIE NORMAL 100mm</t>
  </si>
  <si>
    <t xml:space="preserve"> 2.85 </t>
  </si>
  <si>
    <t xml:space="preserve"> IEQ003150 </t>
  </si>
  <si>
    <t>Cacamba de aco com 5m3, para retirada de entulho, inclusive transporte e descarga, aluguel</t>
  </si>
  <si>
    <t xml:space="preserve"> 2.86 </t>
  </si>
  <si>
    <t xml:space="preserve"> 91931 </t>
  </si>
  <si>
    <t>AGESUL</t>
  </si>
  <si>
    <t>SINAPI - 91931 - CABO DE COBRE FLEXIVEL ISOLADO, 6 MM2, ANTI-CHAMA 0,6/1,0 KV, PARA CIRCUITOS TERMINAIS - FORNECIMENTO E INSTALACAO. AF_03/2023</t>
  </si>
  <si>
    <t xml:space="preserve"> 2.87 </t>
  </si>
  <si>
    <t xml:space="preserve"> 3243 </t>
  </si>
  <si>
    <t>CABO DE ALUMINIO QUADRUPLEX 2 AWG (35 MM2)</t>
  </si>
  <si>
    <t xml:space="preserve"> 3 </t>
  </si>
  <si>
    <t>CUSTO OPERACIONAL</t>
  </si>
  <si>
    <t xml:space="preserve"> 3.1 </t>
  </si>
  <si>
    <t xml:space="preserve"> 4415 </t>
  </si>
  <si>
    <t>Veículo leve - Volkswagen:GOL ou similar</t>
  </si>
  <si>
    <t>h</t>
  </si>
  <si>
    <t xml:space="preserve"> 3.2 </t>
  </si>
  <si>
    <t xml:space="preserve"> 2789 </t>
  </si>
  <si>
    <t>Veículo leve - pick up (97kw)</t>
  </si>
  <si>
    <t xml:space="preserve"> 3.3 </t>
  </si>
  <si>
    <t xml:space="preserve"> 00040862 </t>
  </si>
  <si>
    <t>ALIMENTACAO - MENSALISTA (COLETADO CAIXA - ENCARGOS COMPLEMENTARES)</t>
  </si>
  <si>
    <t>MES</t>
  </si>
  <si>
    <t xml:space="preserve"> 3.4 </t>
  </si>
  <si>
    <t xml:space="preserve"> 00040861 </t>
  </si>
  <si>
    <t>TRANSPORTE - MENSALISTA (COLETADO CAIXA - ENCARGOS COMPLEMENTARES)</t>
  </si>
  <si>
    <t xml:space="preserve"> 3.5 </t>
  </si>
  <si>
    <t xml:space="preserve"> 10558 </t>
  </si>
  <si>
    <t>Internet - dispêndio mensal</t>
  </si>
  <si>
    <t>mês</t>
  </si>
  <si>
    <t>Total Geral</t>
  </si>
  <si>
    <t>Desconto</t>
  </si>
  <si>
    <t>Valor Unit com Desconto</t>
  </si>
  <si>
    <t xml:space="preserve">MANUTENÇÃO PREVENTRIVA - JUNHO </t>
  </si>
  <si>
    <t>_______________________________________________________________
LUCAS COSTA FERREIRA
Secretaria Municipal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</si>
</sst>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30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2" fillId="12" borderId="9" xfId="0" applyFont="1" applyFill="1" applyBorder="1" applyAlignment="1">
      <alignment horizontal="left" vertical="top" wrapText="1"/>
    </xf>
    <xf numFmtId="0" fontId="13" fillId="13" borderId="10" xfId="0" applyFont="1" applyFill="1" applyBorder="1" applyAlignment="1">
      <alignment horizontal="center" vertical="top" wrapText="1"/>
    </xf>
    <xf numFmtId="0" fontId="14" fillId="14" borderId="11" xfId="0" applyFont="1" applyFill="1" applyBorder="1" applyAlignment="1">
      <alignment horizontal="right" vertical="top" wrapText="1"/>
    </xf>
    <xf numFmtId="4" fontId="15" fillId="15" borderId="12" xfId="0" applyNumberFormat="1" applyFont="1" applyFill="1" applyBorder="1" applyAlignment="1">
      <alignment horizontal="right" vertical="top" wrapText="1"/>
    </xf>
    <xf numFmtId="164" fontId="16" fillId="16" borderId="13" xfId="0" applyNumberFormat="1" applyFont="1" applyFill="1" applyBorder="1" applyAlignment="1">
      <alignment horizontal="right" vertical="top" wrapText="1"/>
    </xf>
    <xf numFmtId="0" fontId="18" fillId="17" borderId="14" xfId="0" applyFont="1" applyFill="1" applyBorder="1" applyAlignment="1">
      <alignment horizontal="left" vertical="top" wrapText="1"/>
    </xf>
    <xf numFmtId="0" fontId="19" fillId="18" borderId="15" xfId="0" applyFont="1" applyFill="1" applyBorder="1" applyAlignment="1">
      <alignment horizontal="center" vertical="top" wrapText="1"/>
    </xf>
    <xf numFmtId="0" fontId="20" fillId="19" borderId="16" xfId="0" applyFont="1" applyFill="1" applyBorder="1" applyAlignment="1">
      <alignment horizontal="right" vertical="top" wrapText="1"/>
    </xf>
    <xf numFmtId="4" fontId="21" fillId="20" borderId="17" xfId="0" applyNumberFormat="1" applyFont="1" applyFill="1" applyBorder="1" applyAlignment="1">
      <alignment horizontal="right" vertical="top" wrapText="1"/>
    </xf>
    <xf numFmtId="164" fontId="22" fillId="21" borderId="18" xfId="0" applyNumberFormat="1" applyFont="1" applyFill="1" applyBorder="1" applyAlignment="1">
      <alignment horizontal="right" vertical="top" wrapText="1"/>
    </xf>
    <xf numFmtId="0" fontId="23" fillId="22" borderId="0" xfId="0" applyFont="1" applyFill="1" applyAlignment="1">
      <alignment horizontal="left" vertical="top" wrapText="1"/>
    </xf>
    <xf numFmtId="0" fontId="24" fillId="23" borderId="0" xfId="0" applyFont="1" applyFill="1" applyAlignment="1">
      <alignment horizontal="center" vertical="top" wrapText="1"/>
    </xf>
    <xf numFmtId="0" fontId="25" fillId="24" borderId="0" xfId="0" applyFont="1" applyFill="1" applyAlignment="1">
      <alignment horizontal="right" vertical="top" wrapText="1"/>
    </xf>
    <xf numFmtId="4" fontId="26" fillId="25" borderId="0" xfId="0" applyNumberFormat="1" applyFont="1" applyFill="1" applyAlignment="1">
      <alignment horizontal="right" vertical="top" wrapText="1"/>
    </xf>
    <xf numFmtId="164" fontId="27" fillId="26" borderId="0" xfId="0" applyNumberFormat="1" applyFont="1" applyFill="1" applyAlignment="1">
      <alignment horizontal="right" vertical="top" wrapText="1"/>
    </xf>
    <xf numFmtId="0" fontId="28" fillId="27" borderId="0" xfId="0" applyFont="1" applyFill="1" applyAlignment="1">
      <alignment horizontal="left" vertical="top" wrapText="1"/>
    </xf>
    <xf numFmtId="0" fontId="29" fillId="28" borderId="0" xfId="0" applyFont="1" applyFill="1" applyAlignment="1">
      <alignment horizontal="center" vertical="top" wrapText="1"/>
    </xf>
    <xf numFmtId="0" fontId="11" fillId="22" borderId="0" xfId="0" applyFont="1" applyFill="1" applyAlignment="1">
      <alignment horizontal="left" vertical="top" wrapText="1"/>
    </xf>
    <xf numFmtId="4" fontId="15" fillId="15" borderId="19" xfId="0" applyNumberFormat="1" applyFont="1" applyFill="1" applyBorder="1" applyAlignment="1">
      <alignment horizontal="right" vertical="top" wrapText="1"/>
    </xf>
    <xf numFmtId="4" fontId="9" fillId="10" borderId="19" xfId="0" applyNumberFormat="1" applyFont="1" applyFill="1" applyBorder="1" applyAlignment="1">
      <alignment horizontal="right" vertical="top" wrapText="1"/>
    </xf>
    <xf numFmtId="0" fontId="1" fillId="6" borderId="3" xfId="0" applyFont="1" applyFill="1" applyBorder="1" applyAlignment="1">
      <alignment horizontal="right" vertical="top" wrapText="1"/>
    </xf>
    <xf numFmtId="0" fontId="25" fillId="24" borderId="0" xfId="0" applyFont="1" applyFill="1" applyAlignment="1">
      <alignment horizontal="right" vertical="top" wrapText="1"/>
    </xf>
    <xf numFmtId="0" fontId="23" fillId="22" borderId="0" xfId="0" applyFont="1" applyFill="1" applyAlignment="1">
      <alignment horizontal="left" vertical="top" wrapText="1"/>
    </xf>
    <xf numFmtId="4" fontId="26" fillId="25" borderId="0" xfId="0" applyNumberFormat="1" applyFont="1" applyFill="1" applyAlignment="1">
      <alignment horizontal="right" vertical="top" wrapText="1"/>
    </xf>
    <xf numFmtId="0" fontId="17" fillId="28" borderId="0" xfId="0" applyFont="1" applyFill="1" applyAlignment="1">
      <alignment horizontal="center" vertical="top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top" wrapText="1"/>
    </xf>
    <xf numFmtId="0" fontId="23" fillId="22" borderId="0" xfId="0" applyFont="1" applyFill="1" applyAlignment="1">
      <alignment horizontal="right" vertical="top" wrapText="1"/>
    </xf>
    <xf numFmtId="0" fontId="11" fillId="22" borderId="20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52600" cy="19050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0"/>
  <sheetViews>
    <sheetView tabSelected="1" showWhiteSpace="0" topLeftCell="A88" workbookViewId="0">
      <selection activeCell="I24" sqref="I24"/>
    </sheetView>
  </sheetViews>
  <sheetFormatPr defaultRowHeight="14.25" x14ac:dyDescent="0.2"/>
  <cols>
    <col min="1" max="2" width="13" bestFit="1" customWidth="1"/>
    <col min="3" max="3" width="20" bestFit="1" customWidth="1"/>
    <col min="4" max="4" width="60" bestFit="1" customWidth="1"/>
    <col min="5" max="5" width="8" bestFit="1" customWidth="1"/>
    <col min="6" max="8" width="13" bestFit="1" customWidth="1"/>
    <col min="9" max="9" width="13" customWidth="1"/>
    <col min="10" max="12" width="13" bestFit="1" customWidth="1"/>
  </cols>
  <sheetData>
    <row r="1" spans="1:11" ht="15" x14ac:dyDescent="0.2">
      <c r="A1" s="1"/>
      <c r="B1" s="1"/>
      <c r="C1" s="1"/>
      <c r="D1" s="1" t="s">
        <v>0</v>
      </c>
      <c r="E1" s="37" t="s">
        <v>1</v>
      </c>
      <c r="F1" s="37"/>
      <c r="G1" s="37" t="s">
        <v>2</v>
      </c>
      <c r="H1" s="37"/>
      <c r="I1" s="1"/>
      <c r="J1" s="37" t="s">
        <v>3</v>
      </c>
      <c r="K1" s="37">
        <f>J8 + J23 + J111</f>
        <v>187012.00000000003</v>
      </c>
    </row>
    <row r="2" spans="1:11" ht="80.099999999999994" customHeight="1" x14ac:dyDescent="0.2">
      <c r="A2" s="20"/>
      <c r="B2" s="20"/>
      <c r="C2" s="20"/>
      <c r="D2" s="27" t="s">
        <v>377</v>
      </c>
      <c r="E2" s="32" t="s">
        <v>4</v>
      </c>
      <c r="F2" s="32"/>
      <c r="G2" s="32" t="s">
        <v>5</v>
      </c>
      <c r="H2" s="32"/>
      <c r="I2" s="20"/>
      <c r="J2" s="32" t="s">
        <v>6</v>
      </c>
      <c r="K2" s="32"/>
    </row>
    <row r="3" spans="1:11" ht="15" x14ac:dyDescent="0.25">
      <c r="A3" s="36" t="s">
        <v>7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x14ac:dyDescent="0.2">
      <c r="A4" s="20"/>
      <c r="B4" s="20"/>
      <c r="C4" s="20"/>
      <c r="D4" s="20"/>
      <c r="E4" s="20"/>
      <c r="F4" s="20"/>
      <c r="G4" s="20"/>
      <c r="H4" s="38" t="s">
        <v>8</v>
      </c>
      <c r="I4" s="38"/>
      <c r="J4" s="20"/>
      <c r="K4" s="23">
        <f>H118</f>
        <v>187012.00000000003</v>
      </c>
    </row>
    <row r="5" spans="1:11" x14ac:dyDescent="0.2">
      <c r="A5" s="20"/>
      <c r="B5" s="20"/>
      <c r="C5" s="20"/>
      <c r="D5" s="20"/>
      <c r="E5" s="20"/>
      <c r="F5" s="20"/>
      <c r="G5" s="20"/>
      <c r="H5" s="38" t="s">
        <v>9</v>
      </c>
      <c r="I5" s="38"/>
      <c r="J5" s="20"/>
      <c r="K5" s="24">
        <v>0.26929999999999998</v>
      </c>
    </row>
    <row r="6" spans="1:11" x14ac:dyDescent="0.2">
      <c r="A6" s="20"/>
      <c r="B6" s="20"/>
      <c r="C6" s="20"/>
      <c r="D6" s="20"/>
      <c r="E6" s="20"/>
      <c r="F6" s="20"/>
      <c r="G6" s="20"/>
      <c r="H6" s="39" t="s">
        <v>375</v>
      </c>
      <c r="I6" s="39"/>
      <c r="J6" s="20"/>
      <c r="K6" s="24">
        <v>0.17499999999999999</v>
      </c>
    </row>
    <row r="7" spans="1:11" ht="45" x14ac:dyDescent="0.2">
      <c r="A7" s="2" t="s">
        <v>10</v>
      </c>
      <c r="B7" s="4" t="s">
        <v>11</v>
      </c>
      <c r="C7" s="2" t="s">
        <v>12</v>
      </c>
      <c r="D7" s="2" t="s">
        <v>13</v>
      </c>
      <c r="E7" s="3" t="s">
        <v>14</v>
      </c>
      <c r="F7" s="4" t="s">
        <v>15</v>
      </c>
      <c r="G7" s="4" t="s">
        <v>16</v>
      </c>
      <c r="H7" s="4" t="s">
        <v>17</v>
      </c>
      <c r="I7" s="30" t="s">
        <v>376</v>
      </c>
      <c r="J7" s="4" t="s">
        <v>18</v>
      </c>
      <c r="K7" s="4" t="s">
        <v>19</v>
      </c>
    </row>
    <row r="8" spans="1:11" ht="24" customHeight="1" x14ac:dyDescent="0.2">
      <c r="A8" s="5" t="s">
        <v>20</v>
      </c>
      <c r="B8" s="5" t="s">
        <v>21</v>
      </c>
      <c r="C8" s="5"/>
      <c r="D8" s="5" t="s">
        <v>22</v>
      </c>
      <c r="E8" s="6"/>
      <c r="F8" s="7"/>
      <c r="G8" s="7" t="s">
        <v>23</v>
      </c>
      <c r="H8" s="8"/>
      <c r="I8" s="29"/>
      <c r="J8" s="8">
        <f>SUM(J9:J22)</f>
        <v>98624.760000000009</v>
      </c>
      <c r="K8" s="9">
        <f>J8 / K4</f>
        <v>0.52737129168181718</v>
      </c>
    </row>
    <row r="9" spans="1:11" ht="26.1" customHeight="1" x14ac:dyDescent="0.2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2">
        <v>156</v>
      </c>
      <c r="G9" s="13">
        <v>24.73</v>
      </c>
      <c r="H9" s="13">
        <f>TRUNC(TRUNC(G9 * K5, 2) + G9, 2)</f>
        <v>31.38</v>
      </c>
      <c r="I9" s="28">
        <f>TRUNC(H9-(H9*$K$6),2)</f>
        <v>25.88</v>
      </c>
      <c r="J9" s="13">
        <f>TRUNC(F9 * I9,2)</f>
        <v>4037.28</v>
      </c>
      <c r="K9" s="14">
        <f>J9 / K4</f>
        <v>2.1588347271832821E-2</v>
      </c>
    </row>
    <row r="10" spans="1:11" ht="24" customHeight="1" x14ac:dyDescent="0.2">
      <c r="A10" s="10" t="s">
        <v>29</v>
      </c>
      <c r="B10" s="10" t="s">
        <v>30</v>
      </c>
      <c r="C10" s="10" t="s">
        <v>26</v>
      </c>
      <c r="D10" s="10" t="s">
        <v>31</v>
      </c>
      <c r="E10" s="11" t="s">
        <v>28</v>
      </c>
      <c r="F10" s="12">
        <v>208</v>
      </c>
      <c r="G10" s="13">
        <v>28.07</v>
      </c>
      <c r="H10" s="13">
        <f>TRUNC(TRUNC(G10 * K5, 2) + G10, 2)</f>
        <v>35.619999999999997</v>
      </c>
      <c r="I10" s="28">
        <f t="shared" ref="I10:I73" si="0">TRUNC(H10-(H10*$K$6),2)</f>
        <v>29.38</v>
      </c>
      <c r="J10" s="13">
        <f t="shared" ref="J10:J21" si="1">TRUNC(F10 * I10,2)</f>
        <v>6111.04</v>
      </c>
      <c r="K10" s="14">
        <f>J10 / K4</f>
        <v>3.2677261352212689E-2</v>
      </c>
    </row>
    <row r="11" spans="1:11" ht="26.1" customHeight="1" x14ac:dyDescent="0.2">
      <c r="A11" s="10" t="s">
        <v>32</v>
      </c>
      <c r="B11" s="10" t="s">
        <v>33</v>
      </c>
      <c r="C11" s="10" t="s">
        <v>26</v>
      </c>
      <c r="D11" s="10" t="s">
        <v>34</v>
      </c>
      <c r="E11" s="11" t="s">
        <v>28</v>
      </c>
      <c r="F11" s="12">
        <v>156</v>
      </c>
      <c r="G11" s="13">
        <v>24.31</v>
      </c>
      <c r="H11" s="13">
        <f>TRUNC(TRUNC(G11 * K5, 2) + G11, 2)</f>
        <v>30.85</v>
      </c>
      <c r="I11" s="28">
        <f t="shared" si="0"/>
        <v>25.45</v>
      </c>
      <c r="J11" s="13">
        <f t="shared" si="1"/>
        <v>3970.2</v>
      </c>
      <c r="K11" s="14">
        <f>J11 / K4</f>
        <v>2.1229653712061255E-2</v>
      </c>
    </row>
    <row r="12" spans="1:11" ht="24" customHeight="1" x14ac:dyDescent="0.2">
      <c r="A12" s="10" t="s">
        <v>35</v>
      </c>
      <c r="B12" s="10" t="s">
        <v>36</v>
      </c>
      <c r="C12" s="10" t="s">
        <v>26</v>
      </c>
      <c r="D12" s="10" t="s">
        <v>37</v>
      </c>
      <c r="E12" s="11" t="s">
        <v>28</v>
      </c>
      <c r="F12" s="12">
        <v>156</v>
      </c>
      <c r="G12" s="13">
        <v>24.12</v>
      </c>
      <c r="H12" s="13">
        <f>TRUNC(TRUNC(G12 * K5, 2) + G12, 2)</f>
        <v>30.61</v>
      </c>
      <c r="I12" s="28">
        <f t="shared" si="0"/>
        <v>25.25</v>
      </c>
      <c r="J12" s="13">
        <f t="shared" si="1"/>
        <v>3939</v>
      </c>
      <c r="K12" s="14">
        <f>J12 / K4</f>
        <v>2.1062819498214015E-2</v>
      </c>
    </row>
    <row r="13" spans="1:11" ht="24" customHeight="1" x14ac:dyDescent="0.2">
      <c r="A13" s="10" t="s">
        <v>38</v>
      </c>
      <c r="B13" s="10" t="s">
        <v>39</v>
      </c>
      <c r="C13" s="10" t="s">
        <v>26</v>
      </c>
      <c r="D13" s="10" t="s">
        <v>40</v>
      </c>
      <c r="E13" s="11" t="s">
        <v>28</v>
      </c>
      <c r="F13" s="12">
        <v>208</v>
      </c>
      <c r="G13" s="13">
        <v>28.6</v>
      </c>
      <c r="H13" s="13">
        <f>TRUNC(TRUNC(G13 * K5, 2) + G13, 2)</f>
        <v>36.299999999999997</v>
      </c>
      <c r="I13" s="28">
        <f t="shared" si="0"/>
        <v>29.94</v>
      </c>
      <c r="J13" s="13">
        <f t="shared" si="1"/>
        <v>6227.52</v>
      </c>
      <c r="K13" s="14">
        <f>J13 / K4</f>
        <v>3.3300109083909048E-2</v>
      </c>
    </row>
    <row r="14" spans="1:11" ht="26.1" customHeight="1" x14ac:dyDescent="0.2">
      <c r="A14" s="10" t="s">
        <v>41</v>
      </c>
      <c r="B14" s="10" t="s">
        <v>42</v>
      </c>
      <c r="C14" s="10" t="s">
        <v>26</v>
      </c>
      <c r="D14" s="10" t="s">
        <v>43</v>
      </c>
      <c r="E14" s="11" t="s">
        <v>28</v>
      </c>
      <c r="F14" s="12">
        <v>156</v>
      </c>
      <c r="G14" s="13">
        <v>22.54</v>
      </c>
      <c r="H14" s="13">
        <f>TRUNC(TRUNC(G14 * K5, 2) + G14, 2)</f>
        <v>28.61</v>
      </c>
      <c r="I14" s="28">
        <f t="shared" si="0"/>
        <v>23.6</v>
      </c>
      <c r="J14" s="13">
        <f t="shared" si="1"/>
        <v>3681.6</v>
      </c>
      <c r="K14" s="14">
        <f>J14 / K4</f>
        <v>1.9686437233974285E-2</v>
      </c>
    </row>
    <row r="15" spans="1:11" ht="24" customHeight="1" x14ac:dyDescent="0.2">
      <c r="A15" s="10" t="s">
        <v>44</v>
      </c>
      <c r="B15" s="10" t="s">
        <v>45</v>
      </c>
      <c r="C15" s="10" t="s">
        <v>26</v>
      </c>
      <c r="D15" s="10" t="s">
        <v>46</v>
      </c>
      <c r="E15" s="11" t="s">
        <v>28</v>
      </c>
      <c r="F15" s="12">
        <v>208</v>
      </c>
      <c r="G15" s="13">
        <v>29.32</v>
      </c>
      <c r="H15" s="13">
        <f>TRUNC(TRUNC(G15 * K5, 2) + G15, 2)</f>
        <v>37.21</v>
      </c>
      <c r="I15" s="28">
        <f t="shared" si="0"/>
        <v>30.69</v>
      </c>
      <c r="J15" s="13">
        <f t="shared" si="1"/>
        <v>6383.52</v>
      </c>
      <c r="K15" s="14">
        <f>J15 / K4</f>
        <v>3.4134280153145249E-2</v>
      </c>
    </row>
    <row r="16" spans="1:11" ht="26.1" customHeight="1" x14ac:dyDescent="0.2">
      <c r="A16" s="10" t="s">
        <v>47</v>
      </c>
      <c r="B16" s="10" t="s">
        <v>48</v>
      </c>
      <c r="C16" s="10" t="s">
        <v>26</v>
      </c>
      <c r="D16" s="10" t="s">
        <v>49</v>
      </c>
      <c r="E16" s="11" t="s">
        <v>28</v>
      </c>
      <c r="F16" s="12">
        <v>208</v>
      </c>
      <c r="G16" s="13">
        <v>21.73</v>
      </c>
      <c r="H16" s="13">
        <f>TRUNC(TRUNC(G16 * K5, 2) + G16, 2)</f>
        <v>27.58</v>
      </c>
      <c r="I16" s="28">
        <f t="shared" si="0"/>
        <v>22.75</v>
      </c>
      <c r="J16" s="13">
        <f t="shared" si="1"/>
        <v>4732</v>
      </c>
      <c r="K16" s="14">
        <f>J16 / K4</f>
        <v>2.5303189100164693E-2</v>
      </c>
    </row>
    <row r="17" spans="1:11" ht="26.1" customHeight="1" x14ac:dyDescent="0.2">
      <c r="A17" s="10" t="s">
        <v>50</v>
      </c>
      <c r="B17" s="10" t="s">
        <v>51</v>
      </c>
      <c r="C17" s="10" t="s">
        <v>26</v>
      </c>
      <c r="D17" s="10" t="s">
        <v>52</v>
      </c>
      <c r="E17" s="11" t="s">
        <v>28</v>
      </c>
      <c r="F17" s="12">
        <v>208</v>
      </c>
      <c r="G17" s="13">
        <v>26.22</v>
      </c>
      <c r="H17" s="13">
        <f>TRUNC(TRUNC(G17 * K5, 2) + G17, 2)</f>
        <v>33.28</v>
      </c>
      <c r="I17" s="28">
        <f t="shared" si="0"/>
        <v>27.45</v>
      </c>
      <c r="J17" s="13">
        <f t="shared" si="1"/>
        <v>5709.6</v>
      </c>
      <c r="K17" s="14">
        <f>J17 / K4</f>
        <v>3.0530661134044873E-2</v>
      </c>
    </row>
    <row r="18" spans="1:11" ht="24" customHeight="1" x14ac:dyDescent="0.2">
      <c r="A18" s="10" t="s">
        <v>53</v>
      </c>
      <c r="B18" s="10" t="s">
        <v>54</v>
      </c>
      <c r="C18" s="10" t="s">
        <v>26</v>
      </c>
      <c r="D18" s="10" t="s">
        <v>55</v>
      </c>
      <c r="E18" s="11" t="s">
        <v>28</v>
      </c>
      <c r="F18" s="12">
        <v>208</v>
      </c>
      <c r="G18" s="13">
        <v>41.41</v>
      </c>
      <c r="H18" s="13">
        <f>TRUNC(TRUNC(G18 * K5, 2) + G18, 2)</f>
        <v>52.56</v>
      </c>
      <c r="I18" s="28">
        <f t="shared" si="0"/>
        <v>43.36</v>
      </c>
      <c r="J18" s="13">
        <f t="shared" si="1"/>
        <v>9018.8799999999992</v>
      </c>
      <c r="K18" s="14">
        <f>J18 / K4</f>
        <v>4.8226210082775424E-2</v>
      </c>
    </row>
    <row r="19" spans="1:11" ht="24" customHeight="1" x14ac:dyDescent="0.2">
      <c r="A19" s="10" t="s">
        <v>56</v>
      </c>
      <c r="B19" s="10" t="s">
        <v>57</v>
      </c>
      <c r="C19" s="10" t="s">
        <v>26</v>
      </c>
      <c r="D19" s="10" t="s">
        <v>58</v>
      </c>
      <c r="E19" s="11" t="s">
        <v>28</v>
      </c>
      <c r="F19" s="12">
        <v>208</v>
      </c>
      <c r="G19" s="13">
        <v>26.87</v>
      </c>
      <c r="H19" s="13">
        <f>TRUNC(TRUNC(G19 * K5, 2) + G19, 2)</f>
        <v>34.1</v>
      </c>
      <c r="I19" s="28">
        <f t="shared" si="0"/>
        <v>28.13</v>
      </c>
      <c r="J19" s="13">
        <f t="shared" si="1"/>
        <v>5851.04</v>
      </c>
      <c r="K19" s="14">
        <f>J19 / K4</f>
        <v>3.1286976236819024E-2</v>
      </c>
    </row>
    <row r="20" spans="1:11" ht="26.1" customHeight="1" x14ac:dyDescent="0.2">
      <c r="A20" s="10" t="s">
        <v>59</v>
      </c>
      <c r="B20" s="10" t="s">
        <v>60</v>
      </c>
      <c r="C20" s="10" t="s">
        <v>26</v>
      </c>
      <c r="D20" s="10" t="s">
        <v>61</v>
      </c>
      <c r="E20" s="11" t="s">
        <v>28</v>
      </c>
      <c r="F20" s="12">
        <v>208</v>
      </c>
      <c r="G20" s="13">
        <v>31.19</v>
      </c>
      <c r="H20" s="13">
        <f>TRUNC(TRUNC(G20 * K5, 2) + G20, 2)</f>
        <v>39.58</v>
      </c>
      <c r="I20" s="28">
        <f t="shared" si="0"/>
        <v>32.65</v>
      </c>
      <c r="J20" s="13">
        <f t="shared" si="1"/>
        <v>6791.2</v>
      </c>
      <c r="K20" s="14">
        <f>J20 / K4</f>
        <v>3.631424721408251E-2</v>
      </c>
    </row>
    <row r="21" spans="1:11" ht="24" customHeight="1" x14ac:dyDescent="0.2">
      <c r="A21" s="10" t="s">
        <v>62</v>
      </c>
      <c r="B21" s="10" t="s">
        <v>63</v>
      </c>
      <c r="C21" s="10" t="s">
        <v>26</v>
      </c>
      <c r="D21" s="10" t="s">
        <v>64</v>
      </c>
      <c r="E21" s="11" t="s">
        <v>28</v>
      </c>
      <c r="F21" s="12">
        <v>832</v>
      </c>
      <c r="G21" s="13">
        <v>21.55</v>
      </c>
      <c r="H21" s="13">
        <f>TRUNC(TRUNC(G21 * K5, 2) + G21, 2)</f>
        <v>27.35</v>
      </c>
      <c r="I21" s="28">
        <f t="shared" si="0"/>
        <v>22.56</v>
      </c>
      <c r="J21" s="13">
        <f t="shared" si="1"/>
        <v>18769.919999999998</v>
      </c>
      <c r="K21" s="14">
        <f>J21 / K4</f>
        <v>0.10036746305049941</v>
      </c>
    </row>
    <row r="22" spans="1:11" ht="26.1" customHeight="1" x14ac:dyDescent="0.2">
      <c r="A22" s="10" t="s">
        <v>65</v>
      </c>
      <c r="B22" s="10" t="s">
        <v>66</v>
      </c>
      <c r="C22" s="10" t="s">
        <v>26</v>
      </c>
      <c r="D22" s="10" t="s">
        <v>67</v>
      </c>
      <c r="E22" s="11" t="s">
        <v>28</v>
      </c>
      <c r="F22" s="12">
        <v>78</v>
      </c>
      <c r="G22" s="13">
        <v>164.09</v>
      </c>
      <c r="H22" s="13">
        <f>TRUNC(TRUNC(G22 * K5, 2) + G22, 2)</f>
        <v>208.27</v>
      </c>
      <c r="I22" s="28">
        <f t="shared" si="0"/>
        <v>171.82</v>
      </c>
      <c r="J22" s="13">
        <f>TRUNC(F22 * I22,2)</f>
        <v>13401.96</v>
      </c>
      <c r="K22" s="14">
        <f>J22 / K4</f>
        <v>7.166363655808182E-2</v>
      </c>
    </row>
    <row r="23" spans="1:11" ht="24" customHeight="1" x14ac:dyDescent="0.2">
      <c r="A23" s="5" t="s">
        <v>68</v>
      </c>
      <c r="B23" s="5" t="s">
        <v>21</v>
      </c>
      <c r="C23" s="5"/>
      <c r="D23" s="5" t="s">
        <v>69</v>
      </c>
      <c r="E23" s="6"/>
      <c r="F23" s="7"/>
      <c r="G23" s="7"/>
      <c r="H23" s="8"/>
      <c r="I23" s="29"/>
      <c r="J23" s="8">
        <f>SUM(J24:J110)</f>
        <v>70808.460000000006</v>
      </c>
      <c r="K23" s="9">
        <f>J23 / K4</f>
        <v>0.37863056916133719</v>
      </c>
    </row>
    <row r="24" spans="1:11" ht="26.1" customHeight="1" x14ac:dyDescent="0.2">
      <c r="A24" s="15" t="s">
        <v>70</v>
      </c>
      <c r="B24" s="15" t="s">
        <v>71</v>
      </c>
      <c r="C24" s="15" t="s">
        <v>26</v>
      </c>
      <c r="D24" s="15" t="s">
        <v>72</v>
      </c>
      <c r="E24" s="16" t="s">
        <v>73</v>
      </c>
      <c r="F24" s="17">
        <v>72</v>
      </c>
      <c r="G24" s="18">
        <v>77.45</v>
      </c>
      <c r="H24" s="18">
        <f>TRUNC(TRUNC(G24 * K5, 2) + G24, 2)</f>
        <v>98.3</v>
      </c>
      <c r="I24" s="28">
        <f t="shared" si="0"/>
        <v>81.09</v>
      </c>
      <c r="J24" s="13">
        <f>TRUNC(F24 * I24,2)</f>
        <v>5838.48</v>
      </c>
      <c r="K24" s="19">
        <f>J24 / K4</f>
        <v>3.1219814771244619E-2</v>
      </c>
    </row>
    <row r="25" spans="1:11" ht="26.1" customHeight="1" x14ac:dyDescent="0.2">
      <c r="A25" s="15" t="s">
        <v>74</v>
      </c>
      <c r="B25" s="15" t="s">
        <v>75</v>
      </c>
      <c r="C25" s="15" t="s">
        <v>26</v>
      </c>
      <c r="D25" s="15" t="s">
        <v>76</v>
      </c>
      <c r="E25" s="16" t="s">
        <v>73</v>
      </c>
      <c r="F25" s="17">
        <v>84</v>
      </c>
      <c r="G25" s="18">
        <v>78.459999999999994</v>
      </c>
      <c r="H25" s="18">
        <f>TRUNC(TRUNC(G25 * K5, 2) + G25, 2)</f>
        <v>99.58</v>
      </c>
      <c r="I25" s="28">
        <f t="shared" si="0"/>
        <v>82.15</v>
      </c>
      <c r="J25" s="13">
        <f t="shared" ref="J25:J88" si="2">TRUNC(F25 * I25,2)</f>
        <v>6900.6</v>
      </c>
      <c r="K25" s="19">
        <f>J25 / K4</f>
        <v>3.6899236412636621E-2</v>
      </c>
    </row>
    <row r="26" spans="1:11" ht="26.1" customHeight="1" x14ac:dyDescent="0.2">
      <c r="A26" s="15" t="s">
        <v>77</v>
      </c>
      <c r="B26" s="15" t="s">
        <v>78</v>
      </c>
      <c r="C26" s="15" t="s">
        <v>26</v>
      </c>
      <c r="D26" s="15" t="s">
        <v>79</v>
      </c>
      <c r="E26" s="16" t="s">
        <v>73</v>
      </c>
      <c r="F26" s="17">
        <v>86</v>
      </c>
      <c r="G26" s="18">
        <v>104.36</v>
      </c>
      <c r="H26" s="18">
        <f>TRUNC(TRUNC(G26 * K5, 2) + G26, 2)</f>
        <v>132.46</v>
      </c>
      <c r="I26" s="28">
        <f t="shared" si="0"/>
        <v>109.27</v>
      </c>
      <c r="J26" s="13">
        <f>TRUNC(F26 * I26,2)</f>
        <v>9397.2199999999993</v>
      </c>
      <c r="K26" s="19">
        <f>J26 / K4</f>
        <v>5.0249288815690962E-2</v>
      </c>
    </row>
    <row r="27" spans="1:11" ht="26.1" customHeight="1" x14ac:dyDescent="0.2">
      <c r="A27" s="15" t="s">
        <v>80</v>
      </c>
      <c r="B27" s="15" t="s">
        <v>81</v>
      </c>
      <c r="C27" s="15" t="s">
        <v>26</v>
      </c>
      <c r="D27" s="15" t="s">
        <v>82</v>
      </c>
      <c r="E27" s="16" t="s">
        <v>83</v>
      </c>
      <c r="F27" s="17">
        <v>2800</v>
      </c>
      <c r="G27" s="18">
        <v>0.67</v>
      </c>
      <c r="H27" s="18">
        <f>TRUNC(TRUNC(G27 * K5, 2) + G27, 2)</f>
        <v>0.85</v>
      </c>
      <c r="I27" s="28">
        <f t="shared" si="0"/>
        <v>0.7</v>
      </c>
      <c r="J27" s="13">
        <f t="shared" si="2"/>
        <v>1960</v>
      </c>
      <c r="K27" s="19">
        <f>J27 / K4</f>
        <v>1.0480610869890701E-2</v>
      </c>
    </row>
    <row r="28" spans="1:11" ht="24" customHeight="1" x14ac:dyDescent="0.2">
      <c r="A28" s="15" t="s">
        <v>84</v>
      </c>
      <c r="B28" s="15" t="s">
        <v>85</v>
      </c>
      <c r="C28" s="15" t="s">
        <v>26</v>
      </c>
      <c r="D28" s="15" t="s">
        <v>86</v>
      </c>
      <c r="E28" s="16" t="s">
        <v>87</v>
      </c>
      <c r="F28" s="17">
        <v>8200</v>
      </c>
      <c r="G28" s="18">
        <v>0.9</v>
      </c>
      <c r="H28" s="18">
        <f>TRUNC(TRUNC(G28 * K5, 2) + G28, 2)</f>
        <v>1.1399999999999999</v>
      </c>
      <c r="I28" s="28">
        <f t="shared" si="0"/>
        <v>0.94</v>
      </c>
      <c r="J28" s="13">
        <f t="shared" si="2"/>
        <v>7708</v>
      </c>
      <c r="K28" s="19">
        <f>J28 / K4</f>
        <v>4.1216606420978324E-2</v>
      </c>
    </row>
    <row r="29" spans="1:11" ht="24" customHeight="1" x14ac:dyDescent="0.2">
      <c r="A29" s="15" t="s">
        <v>88</v>
      </c>
      <c r="B29" s="15" t="s">
        <v>89</v>
      </c>
      <c r="C29" s="15" t="s">
        <v>90</v>
      </c>
      <c r="D29" s="15" t="s">
        <v>91</v>
      </c>
      <c r="E29" s="16" t="s">
        <v>83</v>
      </c>
      <c r="F29" s="17">
        <v>4</v>
      </c>
      <c r="G29" s="18">
        <v>33.33</v>
      </c>
      <c r="H29" s="18">
        <f>TRUNC(TRUNC(G29 * K5, 2) + G29, 2)</f>
        <v>42.3</v>
      </c>
      <c r="I29" s="28">
        <f t="shared" si="0"/>
        <v>34.89</v>
      </c>
      <c r="J29" s="13">
        <f t="shared" si="2"/>
        <v>139.56</v>
      </c>
      <c r="K29" s="19">
        <f>J29 / K4</f>
        <v>7.4626227193976848E-4</v>
      </c>
    </row>
    <row r="30" spans="1:11" ht="24" customHeight="1" x14ac:dyDescent="0.2">
      <c r="A30" s="15" t="s">
        <v>92</v>
      </c>
      <c r="B30" s="15" t="s">
        <v>93</v>
      </c>
      <c r="C30" s="15" t="s">
        <v>26</v>
      </c>
      <c r="D30" s="15" t="s">
        <v>94</v>
      </c>
      <c r="E30" s="16" t="s">
        <v>87</v>
      </c>
      <c r="F30" s="17">
        <v>75</v>
      </c>
      <c r="G30" s="18">
        <v>8.23</v>
      </c>
      <c r="H30" s="18">
        <f>TRUNC(TRUNC(G30 * K5, 2) + G30, 2)</f>
        <v>10.44</v>
      </c>
      <c r="I30" s="28">
        <f t="shared" si="0"/>
        <v>8.61</v>
      </c>
      <c r="J30" s="13">
        <f t="shared" si="2"/>
        <v>645.75</v>
      </c>
      <c r="K30" s="19">
        <f>J30 / K4</f>
        <v>3.4529869740979181E-3</v>
      </c>
    </row>
    <row r="31" spans="1:11" ht="24" customHeight="1" x14ac:dyDescent="0.2">
      <c r="A31" s="15" t="s">
        <v>95</v>
      </c>
      <c r="B31" s="15" t="s">
        <v>96</v>
      </c>
      <c r="C31" s="15" t="s">
        <v>90</v>
      </c>
      <c r="D31" s="15" t="s">
        <v>97</v>
      </c>
      <c r="E31" s="16" t="s">
        <v>83</v>
      </c>
      <c r="F31" s="17">
        <v>2</v>
      </c>
      <c r="G31" s="18">
        <v>7.63</v>
      </c>
      <c r="H31" s="18">
        <f>TRUNC(TRUNC(G31 * K5, 2) + G31, 2)</f>
        <v>9.68</v>
      </c>
      <c r="I31" s="28">
        <f t="shared" si="0"/>
        <v>7.98</v>
      </c>
      <c r="J31" s="13">
        <f t="shared" si="2"/>
        <v>15.96</v>
      </c>
      <c r="K31" s="19">
        <f>J31 / K4</f>
        <v>8.534211708339571E-5</v>
      </c>
    </row>
    <row r="32" spans="1:11" ht="24" customHeight="1" x14ac:dyDescent="0.2">
      <c r="A32" s="15" t="s">
        <v>98</v>
      </c>
      <c r="B32" s="15" t="s">
        <v>99</v>
      </c>
      <c r="C32" s="15" t="s">
        <v>100</v>
      </c>
      <c r="D32" s="15" t="s">
        <v>101</v>
      </c>
      <c r="E32" s="16" t="s">
        <v>102</v>
      </c>
      <c r="F32" s="17">
        <v>3</v>
      </c>
      <c r="G32" s="18">
        <v>9.52</v>
      </c>
      <c r="H32" s="18">
        <f>TRUNC(TRUNC(G32 * K5, 2) + G32, 2)</f>
        <v>12.08</v>
      </c>
      <c r="I32" s="28">
        <f t="shared" si="0"/>
        <v>9.9600000000000009</v>
      </c>
      <c r="J32" s="13">
        <f t="shared" si="2"/>
        <v>29.88</v>
      </c>
      <c r="K32" s="19">
        <f>J32 / K4</f>
        <v>1.5977584326139495E-4</v>
      </c>
    </row>
    <row r="33" spans="1:11" ht="24" customHeight="1" x14ac:dyDescent="0.2">
      <c r="A33" s="15" t="s">
        <v>103</v>
      </c>
      <c r="B33" s="15" t="s">
        <v>104</v>
      </c>
      <c r="C33" s="15" t="s">
        <v>90</v>
      </c>
      <c r="D33" s="15" t="s">
        <v>105</v>
      </c>
      <c r="E33" s="16" t="s">
        <v>83</v>
      </c>
      <c r="F33" s="17">
        <v>2</v>
      </c>
      <c r="G33" s="18">
        <v>3.9</v>
      </c>
      <c r="H33" s="18">
        <f>TRUNC(TRUNC(G33 * K5, 2) + G33, 2)</f>
        <v>4.95</v>
      </c>
      <c r="I33" s="28">
        <f t="shared" si="0"/>
        <v>4.08</v>
      </c>
      <c r="J33" s="13">
        <f t="shared" si="2"/>
        <v>8.16</v>
      </c>
      <c r="K33" s="19">
        <f>J33 / K4</f>
        <v>4.3633563621585778E-5</v>
      </c>
    </row>
    <row r="34" spans="1:11" ht="24" customHeight="1" x14ac:dyDescent="0.2">
      <c r="A34" s="15" t="s">
        <v>106</v>
      </c>
      <c r="B34" s="15" t="s">
        <v>107</v>
      </c>
      <c r="C34" s="15" t="s">
        <v>90</v>
      </c>
      <c r="D34" s="15" t="s">
        <v>108</v>
      </c>
      <c r="E34" s="16" t="s">
        <v>83</v>
      </c>
      <c r="F34" s="17">
        <v>3</v>
      </c>
      <c r="G34" s="18">
        <v>2.66</v>
      </c>
      <c r="H34" s="18">
        <f>TRUNC(TRUNC(G34 * K5, 2) + G34, 2)</f>
        <v>3.37</v>
      </c>
      <c r="I34" s="28">
        <f t="shared" si="0"/>
        <v>2.78</v>
      </c>
      <c r="J34" s="13">
        <f t="shared" si="2"/>
        <v>8.34</v>
      </c>
      <c r="K34" s="19">
        <f>J34 / K4</f>
        <v>4.4596068701473694E-5</v>
      </c>
    </row>
    <row r="35" spans="1:11" ht="26.1" customHeight="1" x14ac:dyDescent="0.2">
      <c r="A35" s="15" t="s">
        <v>109</v>
      </c>
      <c r="B35" s="15" t="s">
        <v>110</v>
      </c>
      <c r="C35" s="15" t="s">
        <v>100</v>
      </c>
      <c r="D35" s="15" t="s">
        <v>111</v>
      </c>
      <c r="E35" s="16" t="s">
        <v>112</v>
      </c>
      <c r="F35" s="17">
        <v>180</v>
      </c>
      <c r="G35" s="18">
        <v>1.84</v>
      </c>
      <c r="H35" s="18">
        <f>TRUNC(TRUNC(G35 * K5, 2) + G35, 2)</f>
        <v>2.33</v>
      </c>
      <c r="I35" s="28">
        <f t="shared" si="0"/>
        <v>1.92</v>
      </c>
      <c r="J35" s="13">
        <f t="shared" si="2"/>
        <v>345.6</v>
      </c>
      <c r="K35" s="19">
        <f>J35 / K4</f>
        <v>1.8480097533848095E-3</v>
      </c>
    </row>
    <row r="36" spans="1:11" ht="24" customHeight="1" x14ac:dyDescent="0.2">
      <c r="A36" s="15" t="s">
        <v>113</v>
      </c>
      <c r="B36" s="15" t="s">
        <v>114</v>
      </c>
      <c r="C36" s="15" t="s">
        <v>90</v>
      </c>
      <c r="D36" s="15" t="s">
        <v>115</v>
      </c>
      <c r="E36" s="16" t="s">
        <v>83</v>
      </c>
      <c r="F36" s="17">
        <v>4</v>
      </c>
      <c r="G36" s="18">
        <v>13.04</v>
      </c>
      <c r="H36" s="18">
        <f>TRUNC(TRUNC(G36 * K5, 2) + G36, 2)</f>
        <v>16.55</v>
      </c>
      <c r="I36" s="28">
        <f t="shared" si="0"/>
        <v>13.65</v>
      </c>
      <c r="J36" s="13">
        <f t="shared" si="2"/>
        <v>54.6</v>
      </c>
      <c r="K36" s="19">
        <f>J36 / K4</f>
        <v>2.9195987423266955E-4</v>
      </c>
    </row>
    <row r="37" spans="1:11" ht="26.1" customHeight="1" x14ac:dyDescent="0.2">
      <c r="A37" s="15" t="s">
        <v>116</v>
      </c>
      <c r="B37" s="15" t="s">
        <v>117</v>
      </c>
      <c r="C37" s="15" t="s">
        <v>118</v>
      </c>
      <c r="D37" s="15" t="s">
        <v>119</v>
      </c>
      <c r="E37" s="16" t="s">
        <v>83</v>
      </c>
      <c r="F37" s="17">
        <v>3</v>
      </c>
      <c r="G37" s="18">
        <v>45.64</v>
      </c>
      <c r="H37" s="18">
        <f>TRUNC(TRUNC(G37 * K5, 2) + G37, 2)</f>
        <v>57.93</v>
      </c>
      <c r="I37" s="28">
        <f t="shared" si="0"/>
        <v>47.79</v>
      </c>
      <c r="J37" s="13">
        <f t="shared" si="2"/>
        <v>143.37</v>
      </c>
      <c r="K37" s="19">
        <f>J37 / K4</f>
        <v>7.6663529613072952E-4</v>
      </c>
    </row>
    <row r="38" spans="1:11" ht="26.1" customHeight="1" x14ac:dyDescent="0.2">
      <c r="A38" s="15" t="s">
        <v>120</v>
      </c>
      <c r="B38" s="15" t="s">
        <v>121</v>
      </c>
      <c r="C38" s="15" t="s">
        <v>90</v>
      </c>
      <c r="D38" s="15" t="s">
        <v>122</v>
      </c>
      <c r="E38" s="16" t="s">
        <v>83</v>
      </c>
      <c r="F38" s="17">
        <v>1</v>
      </c>
      <c r="G38" s="18">
        <v>44.29</v>
      </c>
      <c r="H38" s="18">
        <f>TRUNC(TRUNC(G38 * K5, 2) + G38, 2)</f>
        <v>56.21</v>
      </c>
      <c r="I38" s="28">
        <f t="shared" si="0"/>
        <v>46.37</v>
      </c>
      <c r="J38" s="13">
        <f t="shared" si="2"/>
        <v>46.37</v>
      </c>
      <c r="K38" s="19">
        <f>J38 / K4</f>
        <v>2.4795200308001618E-4</v>
      </c>
    </row>
    <row r="39" spans="1:11" ht="26.1" customHeight="1" x14ac:dyDescent="0.2">
      <c r="A39" s="15" t="s">
        <v>123</v>
      </c>
      <c r="B39" s="15" t="s">
        <v>124</v>
      </c>
      <c r="C39" s="15" t="s">
        <v>26</v>
      </c>
      <c r="D39" s="15" t="s">
        <v>125</v>
      </c>
      <c r="E39" s="16" t="s">
        <v>83</v>
      </c>
      <c r="F39" s="17">
        <v>2</v>
      </c>
      <c r="G39" s="18">
        <v>84.34</v>
      </c>
      <c r="H39" s="18">
        <f>TRUNC(TRUNC(G39 * K5, 2) + G39, 2)</f>
        <v>107.05</v>
      </c>
      <c r="I39" s="28">
        <f t="shared" si="0"/>
        <v>88.31</v>
      </c>
      <c r="J39" s="13">
        <f t="shared" si="2"/>
        <v>176.62</v>
      </c>
      <c r="K39" s="19">
        <f>J39 / K4</f>
        <v>9.4443137338780388E-4</v>
      </c>
    </row>
    <row r="40" spans="1:11" ht="24" customHeight="1" x14ac:dyDescent="0.2">
      <c r="A40" s="15" t="s">
        <v>126</v>
      </c>
      <c r="B40" s="15" t="s">
        <v>127</v>
      </c>
      <c r="C40" s="15" t="s">
        <v>90</v>
      </c>
      <c r="D40" s="15" t="s">
        <v>128</v>
      </c>
      <c r="E40" s="16" t="s">
        <v>83</v>
      </c>
      <c r="F40" s="17">
        <v>2</v>
      </c>
      <c r="G40" s="18">
        <v>149.99</v>
      </c>
      <c r="H40" s="18">
        <f>TRUNC(TRUNC(G40 * K5, 2) + G40, 2)</f>
        <v>190.38</v>
      </c>
      <c r="I40" s="28">
        <f t="shared" si="0"/>
        <v>157.06</v>
      </c>
      <c r="J40" s="13">
        <f t="shared" si="2"/>
        <v>314.12</v>
      </c>
      <c r="K40" s="19">
        <f>J40 / K4</f>
        <v>1.6796783094132994E-3</v>
      </c>
    </row>
    <row r="41" spans="1:11" ht="24" customHeight="1" x14ac:dyDescent="0.2">
      <c r="A41" s="15" t="s">
        <v>129</v>
      </c>
      <c r="B41" s="15" t="s">
        <v>130</v>
      </c>
      <c r="C41" s="15" t="s">
        <v>90</v>
      </c>
      <c r="D41" s="15" t="s">
        <v>131</v>
      </c>
      <c r="E41" s="16" t="s">
        <v>83</v>
      </c>
      <c r="F41" s="17">
        <v>2</v>
      </c>
      <c r="G41" s="18">
        <v>293.89999999999998</v>
      </c>
      <c r="H41" s="18">
        <f>TRUNC(TRUNC(G41 * K5, 2) + G41, 2)</f>
        <v>373.04</v>
      </c>
      <c r="I41" s="28">
        <f t="shared" si="0"/>
        <v>307.75</v>
      </c>
      <c r="J41" s="13">
        <f t="shared" si="2"/>
        <v>615.5</v>
      </c>
      <c r="K41" s="19">
        <f>J41 / K4</f>
        <v>3.2912326481723095E-3</v>
      </c>
    </row>
    <row r="42" spans="1:11" ht="24" customHeight="1" x14ac:dyDescent="0.2">
      <c r="A42" s="15" t="s">
        <v>132</v>
      </c>
      <c r="B42" s="15" t="s">
        <v>133</v>
      </c>
      <c r="C42" s="15" t="s">
        <v>90</v>
      </c>
      <c r="D42" s="15" t="s">
        <v>134</v>
      </c>
      <c r="E42" s="16" t="s">
        <v>83</v>
      </c>
      <c r="F42" s="17">
        <v>2</v>
      </c>
      <c r="G42" s="18">
        <v>48.36</v>
      </c>
      <c r="H42" s="18">
        <f>TRUNC(TRUNC(G42 * K5, 2) + G42, 2)</f>
        <v>61.38</v>
      </c>
      <c r="I42" s="28">
        <f t="shared" si="0"/>
        <v>50.63</v>
      </c>
      <c r="J42" s="13">
        <f t="shared" si="2"/>
        <v>101.26</v>
      </c>
      <c r="K42" s="19">
        <f>J42 / K4</f>
        <v>5.414625799413941E-4</v>
      </c>
    </row>
    <row r="43" spans="1:11" ht="39" customHeight="1" x14ac:dyDescent="0.2">
      <c r="A43" s="15" t="s">
        <v>135</v>
      </c>
      <c r="B43" s="15" t="s">
        <v>136</v>
      </c>
      <c r="C43" s="15" t="s">
        <v>26</v>
      </c>
      <c r="D43" s="15" t="s">
        <v>137</v>
      </c>
      <c r="E43" s="16" t="s">
        <v>83</v>
      </c>
      <c r="F43" s="17">
        <v>2</v>
      </c>
      <c r="G43" s="18">
        <v>642.82000000000005</v>
      </c>
      <c r="H43" s="18">
        <f>TRUNC(TRUNC(G43 * K5, 2) + G43, 2)</f>
        <v>815.93</v>
      </c>
      <c r="I43" s="28">
        <f t="shared" si="0"/>
        <v>673.14</v>
      </c>
      <c r="J43" s="13">
        <f t="shared" si="2"/>
        <v>1346.28</v>
      </c>
      <c r="K43" s="19">
        <f>J43 / K4</f>
        <v>7.1988963275083943E-3</v>
      </c>
    </row>
    <row r="44" spans="1:11" ht="39" customHeight="1" x14ac:dyDescent="0.2">
      <c r="A44" s="15" t="s">
        <v>138</v>
      </c>
      <c r="B44" s="15" t="s">
        <v>139</v>
      </c>
      <c r="C44" s="15" t="s">
        <v>26</v>
      </c>
      <c r="D44" s="15" t="s">
        <v>140</v>
      </c>
      <c r="E44" s="16" t="s">
        <v>83</v>
      </c>
      <c r="F44" s="17">
        <v>15</v>
      </c>
      <c r="G44" s="18">
        <v>137.94999999999999</v>
      </c>
      <c r="H44" s="18">
        <f>TRUNC(TRUNC(G44 * K5, 2) + G44, 2)</f>
        <v>175.09</v>
      </c>
      <c r="I44" s="28">
        <f t="shared" si="0"/>
        <v>144.44</v>
      </c>
      <c r="J44" s="13">
        <f t="shared" si="2"/>
        <v>2166.6</v>
      </c>
      <c r="K44" s="19">
        <f>J44 / K4</f>
        <v>1.1585352811584281E-2</v>
      </c>
    </row>
    <row r="45" spans="1:11" ht="24" customHeight="1" x14ac:dyDescent="0.2">
      <c r="A45" s="15" t="s">
        <v>141</v>
      </c>
      <c r="B45" s="15" t="s">
        <v>142</v>
      </c>
      <c r="C45" s="15" t="s">
        <v>143</v>
      </c>
      <c r="D45" s="15" t="s">
        <v>144</v>
      </c>
      <c r="E45" s="16" t="s">
        <v>83</v>
      </c>
      <c r="F45" s="17">
        <v>10</v>
      </c>
      <c r="G45" s="18">
        <v>37.729999999999997</v>
      </c>
      <c r="H45" s="18">
        <f>TRUNC(TRUNC(G45 * K5, 2) + G45, 2)</f>
        <v>47.89</v>
      </c>
      <c r="I45" s="28">
        <f t="shared" si="0"/>
        <v>39.5</v>
      </c>
      <c r="J45" s="13">
        <f t="shared" si="2"/>
        <v>395</v>
      </c>
      <c r="K45" s="19">
        <f>J45 / K4</f>
        <v>2.1121639253096056E-3</v>
      </c>
    </row>
    <row r="46" spans="1:11" ht="24" customHeight="1" x14ac:dyDescent="0.2">
      <c r="A46" s="15" t="s">
        <v>145</v>
      </c>
      <c r="B46" s="15" t="s">
        <v>146</v>
      </c>
      <c r="C46" s="15" t="s">
        <v>147</v>
      </c>
      <c r="D46" s="15" t="s">
        <v>148</v>
      </c>
      <c r="E46" s="16" t="s">
        <v>83</v>
      </c>
      <c r="F46" s="17">
        <v>5</v>
      </c>
      <c r="G46" s="18">
        <v>552.45000000000005</v>
      </c>
      <c r="H46" s="18">
        <f>TRUNC(TRUNC(G46 * K5, 2) + G46, 2)</f>
        <v>701.22</v>
      </c>
      <c r="I46" s="28">
        <f t="shared" si="0"/>
        <v>578.5</v>
      </c>
      <c r="J46" s="13">
        <f t="shared" si="2"/>
        <v>2892.5</v>
      </c>
      <c r="K46" s="19">
        <f>J46 / K4</f>
        <v>1.5466921908754516E-2</v>
      </c>
    </row>
    <row r="47" spans="1:11" ht="24" customHeight="1" x14ac:dyDescent="0.2">
      <c r="A47" s="15" t="s">
        <v>149</v>
      </c>
      <c r="B47" s="15" t="s">
        <v>150</v>
      </c>
      <c r="C47" s="15" t="s">
        <v>100</v>
      </c>
      <c r="D47" s="15" t="s">
        <v>151</v>
      </c>
      <c r="E47" s="16" t="s">
        <v>102</v>
      </c>
      <c r="F47" s="17">
        <v>1</v>
      </c>
      <c r="G47" s="18">
        <v>449.04</v>
      </c>
      <c r="H47" s="18">
        <f>TRUNC(TRUNC(G47 * K5, 2) + G47, 2)</f>
        <v>569.96</v>
      </c>
      <c r="I47" s="28">
        <f t="shared" si="0"/>
        <v>470.21</v>
      </c>
      <c r="J47" s="13">
        <f t="shared" si="2"/>
        <v>470.21</v>
      </c>
      <c r="K47" s="19">
        <f>J47 / K4</f>
        <v>2.5143306311894418E-3</v>
      </c>
    </row>
    <row r="48" spans="1:11" ht="24" customHeight="1" x14ac:dyDescent="0.2">
      <c r="A48" s="15" t="s">
        <v>152</v>
      </c>
      <c r="B48" s="15" t="s">
        <v>153</v>
      </c>
      <c r="C48" s="15" t="s">
        <v>154</v>
      </c>
      <c r="D48" s="15" t="s">
        <v>155</v>
      </c>
      <c r="E48" s="16" t="s">
        <v>102</v>
      </c>
      <c r="F48" s="17">
        <v>2</v>
      </c>
      <c r="G48" s="18">
        <v>305.23</v>
      </c>
      <c r="H48" s="18">
        <f>TRUNC(TRUNC(G48 * K5, 2) + G48, 2)</f>
        <v>387.42</v>
      </c>
      <c r="I48" s="28">
        <f t="shared" si="0"/>
        <v>319.62</v>
      </c>
      <c r="J48" s="13">
        <f t="shared" si="2"/>
        <v>639.24</v>
      </c>
      <c r="K48" s="19">
        <f>J48 / K4</f>
        <v>3.4181763737086385E-3</v>
      </c>
    </row>
    <row r="49" spans="1:11" ht="24" customHeight="1" x14ac:dyDescent="0.2">
      <c r="A49" s="15" t="s">
        <v>156</v>
      </c>
      <c r="B49" s="15" t="s">
        <v>157</v>
      </c>
      <c r="C49" s="15" t="s">
        <v>158</v>
      </c>
      <c r="D49" s="15" t="s">
        <v>159</v>
      </c>
      <c r="E49" s="16" t="s">
        <v>160</v>
      </c>
      <c r="F49" s="17">
        <v>580</v>
      </c>
      <c r="G49" s="18">
        <v>5.76</v>
      </c>
      <c r="H49" s="18">
        <f>TRUNC(TRUNC(G49 * K5, 2) + G49, 2)</f>
        <v>7.31</v>
      </c>
      <c r="I49" s="28">
        <f t="shared" si="0"/>
        <v>6.03</v>
      </c>
      <c r="J49" s="13">
        <f t="shared" si="2"/>
        <v>3497.4</v>
      </c>
      <c r="K49" s="19">
        <f>J49 / K4</f>
        <v>1.8701473702222315E-2</v>
      </c>
    </row>
    <row r="50" spans="1:11" ht="26.1" customHeight="1" x14ac:dyDescent="0.2">
      <c r="A50" s="15" t="s">
        <v>161</v>
      </c>
      <c r="B50" s="15" t="s">
        <v>162</v>
      </c>
      <c r="C50" s="15" t="s">
        <v>26</v>
      </c>
      <c r="D50" s="15" t="s">
        <v>163</v>
      </c>
      <c r="E50" s="16" t="s">
        <v>164</v>
      </c>
      <c r="F50" s="17">
        <v>62</v>
      </c>
      <c r="G50" s="18">
        <v>28.22</v>
      </c>
      <c r="H50" s="18">
        <f>TRUNC(TRUNC(G50 * K5, 2) + G50, 2)</f>
        <v>35.81</v>
      </c>
      <c r="I50" s="28">
        <f t="shared" si="0"/>
        <v>29.54</v>
      </c>
      <c r="J50" s="13">
        <f t="shared" si="2"/>
        <v>1831.48</v>
      </c>
      <c r="K50" s="19">
        <f>J50 / K4</f>
        <v>9.7933822428507254E-3</v>
      </c>
    </row>
    <row r="51" spans="1:11" ht="26.1" customHeight="1" x14ac:dyDescent="0.2">
      <c r="A51" s="15" t="s">
        <v>165</v>
      </c>
      <c r="B51" s="15" t="s">
        <v>166</v>
      </c>
      <c r="C51" s="15" t="s">
        <v>143</v>
      </c>
      <c r="D51" s="15" t="s">
        <v>167</v>
      </c>
      <c r="E51" s="16" t="s">
        <v>83</v>
      </c>
      <c r="F51" s="17">
        <v>1700</v>
      </c>
      <c r="G51" s="18">
        <v>1.57</v>
      </c>
      <c r="H51" s="18">
        <f>TRUNC(TRUNC(G51 * K5, 2) + G51, 2)</f>
        <v>1.99</v>
      </c>
      <c r="I51" s="28">
        <f t="shared" si="0"/>
        <v>1.64</v>
      </c>
      <c r="J51" s="13">
        <f t="shared" si="2"/>
        <v>2788</v>
      </c>
      <c r="K51" s="19">
        <f>J51 / K4</f>
        <v>1.4908134237375139E-2</v>
      </c>
    </row>
    <row r="52" spans="1:11" ht="24" customHeight="1" x14ac:dyDescent="0.2">
      <c r="A52" s="15" t="s">
        <v>168</v>
      </c>
      <c r="B52" s="15" t="s">
        <v>169</v>
      </c>
      <c r="C52" s="15" t="s">
        <v>90</v>
      </c>
      <c r="D52" s="15" t="s">
        <v>170</v>
      </c>
      <c r="E52" s="16" t="s">
        <v>83</v>
      </c>
      <c r="F52" s="17">
        <v>5</v>
      </c>
      <c r="G52" s="18">
        <v>30.35</v>
      </c>
      <c r="H52" s="18">
        <f>TRUNC(TRUNC(G52 * K5, 2) + G52, 2)</f>
        <v>38.520000000000003</v>
      </c>
      <c r="I52" s="28">
        <f t="shared" si="0"/>
        <v>31.77</v>
      </c>
      <c r="J52" s="13">
        <f t="shared" si="2"/>
        <v>158.85</v>
      </c>
      <c r="K52" s="19">
        <f>J52 / K4</f>
        <v>8.4941073300109069E-4</v>
      </c>
    </row>
    <row r="53" spans="1:11" ht="26.1" customHeight="1" x14ac:dyDescent="0.2">
      <c r="A53" s="15" t="s">
        <v>171</v>
      </c>
      <c r="B53" s="15" t="s">
        <v>172</v>
      </c>
      <c r="C53" s="15" t="s">
        <v>26</v>
      </c>
      <c r="D53" s="15" t="s">
        <v>173</v>
      </c>
      <c r="E53" s="16" t="s">
        <v>83</v>
      </c>
      <c r="F53" s="17">
        <v>5</v>
      </c>
      <c r="G53" s="18">
        <v>22.41</v>
      </c>
      <c r="H53" s="18">
        <f>TRUNC(TRUNC(G53 * K5, 2) + G53, 2)</f>
        <v>28.44</v>
      </c>
      <c r="I53" s="28">
        <f t="shared" si="0"/>
        <v>23.46</v>
      </c>
      <c r="J53" s="13">
        <f t="shared" si="2"/>
        <v>117.3</v>
      </c>
      <c r="K53" s="19">
        <f>J53 / K4</f>
        <v>6.2723247706029548E-4</v>
      </c>
    </row>
    <row r="54" spans="1:11" ht="24" customHeight="1" x14ac:dyDescent="0.2">
      <c r="A54" s="15" t="s">
        <v>174</v>
      </c>
      <c r="B54" s="15" t="s">
        <v>175</v>
      </c>
      <c r="C54" s="15" t="s">
        <v>90</v>
      </c>
      <c r="D54" s="15" t="s">
        <v>176</v>
      </c>
      <c r="E54" s="16" t="s">
        <v>177</v>
      </c>
      <c r="F54" s="17">
        <v>200</v>
      </c>
      <c r="G54" s="18">
        <v>5.38</v>
      </c>
      <c r="H54" s="18">
        <f>TRUNC(TRUNC(G54 * K5, 2) + G54, 2)</f>
        <v>6.82</v>
      </c>
      <c r="I54" s="28">
        <f t="shared" si="0"/>
        <v>5.62</v>
      </c>
      <c r="J54" s="13">
        <f t="shared" si="2"/>
        <v>1124</v>
      </c>
      <c r="K54" s="19">
        <f>J54 / K4</f>
        <v>6.0103094988556878E-3</v>
      </c>
    </row>
    <row r="55" spans="1:11" ht="24" customHeight="1" x14ac:dyDescent="0.2">
      <c r="A55" s="15" t="s">
        <v>178</v>
      </c>
      <c r="B55" s="15" t="s">
        <v>179</v>
      </c>
      <c r="C55" s="15" t="s">
        <v>90</v>
      </c>
      <c r="D55" s="15" t="s">
        <v>180</v>
      </c>
      <c r="E55" s="16" t="s">
        <v>83</v>
      </c>
      <c r="F55" s="17">
        <v>4</v>
      </c>
      <c r="G55" s="18">
        <v>5.04</v>
      </c>
      <c r="H55" s="18">
        <f>TRUNC(TRUNC(G55 * K5, 2) + G55, 2)</f>
        <v>6.39</v>
      </c>
      <c r="I55" s="28">
        <f t="shared" si="0"/>
        <v>5.27</v>
      </c>
      <c r="J55" s="13">
        <f t="shared" si="2"/>
        <v>21.08</v>
      </c>
      <c r="K55" s="19">
        <f>J55 / K4</f>
        <v>1.1272003935576324E-4</v>
      </c>
    </row>
    <row r="56" spans="1:11" ht="26.1" customHeight="1" x14ac:dyDescent="0.2">
      <c r="A56" s="15" t="s">
        <v>181</v>
      </c>
      <c r="B56" s="15" t="s">
        <v>182</v>
      </c>
      <c r="C56" s="15" t="s">
        <v>183</v>
      </c>
      <c r="D56" s="15" t="s">
        <v>184</v>
      </c>
      <c r="E56" s="16" t="s">
        <v>102</v>
      </c>
      <c r="F56" s="17">
        <v>10</v>
      </c>
      <c r="G56" s="18">
        <v>1.41</v>
      </c>
      <c r="H56" s="18">
        <f>TRUNC(TRUNC(G56 * K5, 2) + G56, 2)</f>
        <v>1.78</v>
      </c>
      <c r="I56" s="28">
        <f t="shared" si="0"/>
        <v>1.46</v>
      </c>
      <c r="J56" s="13">
        <f t="shared" si="2"/>
        <v>14.6</v>
      </c>
      <c r="K56" s="19">
        <f>J56 / K4</f>
        <v>7.8069856479798068E-5</v>
      </c>
    </row>
    <row r="57" spans="1:11" ht="39" customHeight="1" x14ac:dyDescent="0.2">
      <c r="A57" s="15" t="s">
        <v>185</v>
      </c>
      <c r="B57" s="15" t="s">
        <v>186</v>
      </c>
      <c r="C57" s="15" t="s">
        <v>183</v>
      </c>
      <c r="D57" s="15" t="s">
        <v>187</v>
      </c>
      <c r="E57" s="16" t="s">
        <v>102</v>
      </c>
      <c r="F57" s="17">
        <v>2</v>
      </c>
      <c r="G57" s="18">
        <v>2.04</v>
      </c>
      <c r="H57" s="18">
        <f>TRUNC(TRUNC(G57 * K5, 2) + G57, 2)</f>
        <v>2.58</v>
      </c>
      <c r="I57" s="28">
        <f t="shared" si="0"/>
        <v>2.12</v>
      </c>
      <c r="J57" s="13">
        <f t="shared" si="2"/>
        <v>4.24</v>
      </c>
      <c r="K57" s="19">
        <f>J57 / K4</f>
        <v>2.2672341881804373E-5</v>
      </c>
    </row>
    <row r="58" spans="1:11" ht="26.1" customHeight="1" x14ac:dyDescent="0.2">
      <c r="A58" s="15" t="s">
        <v>188</v>
      </c>
      <c r="B58" s="15" t="s">
        <v>189</v>
      </c>
      <c r="C58" s="15" t="s">
        <v>26</v>
      </c>
      <c r="D58" s="15" t="s">
        <v>190</v>
      </c>
      <c r="E58" s="16" t="s">
        <v>191</v>
      </c>
      <c r="F58" s="17">
        <v>5</v>
      </c>
      <c r="G58" s="18">
        <v>83.62</v>
      </c>
      <c r="H58" s="18">
        <f>TRUNC(TRUNC(G58 * K5, 2) + G58, 2)</f>
        <v>106.13</v>
      </c>
      <c r="I58" s="28">
        <f t="shared" si="0"/>
        <v>87.55</v>
      </c>
      <c r="J58" s="13">
        <f t="shared" si="2"/>
        <v>437.75</v>
      </c>
      <c r="K58" s="19">
        <f>J58 / K4</f>
        <v>2.340758881782987E-3</v>
      </c>
    </row>
    <row r="59" spans="1:11" ht="24" customHeight="1" x14ac:dyDescent="0.2">
      <c r="A59" s="15" t="s">
        <v>192</v>
      </c>
      <c r="B59" s="15" t="s">
        <v>193</v>
      </c>
      <c r="C59" s="15" t="s">
        <v>143</v>
      </c>
      <c r="D59" s="15" t="s">
        <v>194</v>
      </c>
      <c r="E59" s="16" t="s">
        <v>83</v>
      </c>
      <c r="F59" s="17">
        <v>30</v>
      </c>
      <c r="G59" s="18">
        <v>0.42</v>
      </c>
      <c r="H59" s="18">
        <f>TRUNC(TRUNC(G59 * K5, 2) + G59, 2)</f>
        <v>0.53</v>
      </c>
      <c r="I59" s="28">
        <f t="shared" si="0"/>
        <v>0.43</v>
      </c>
      <c r="J59" s="13">
        <f t="shared" si="2"/>
        <v>12.9</v>
      </c>
      <c r="K59" s="19">
        <f>J59 / K4</f>
        <v>6.8979530725301046E-5</v>
      </c>
    </row>
    <row r="60" spans="1:11" ht="26.1" customHeight="1" x14ac:dyDescent="0.2">
      <c r="A60" s="15" t="s">
        <v>195</v>
      </c>
      <c r="B60" s="15" t="s">
        <v>196</v>
      </c>
      <c r="C60" s="15" t="s">
        <v>26</v>
      </c>
      <c r="D60" s="15" t="s">
        <v>197</v>
      </c>
      <c r="E60" s="16" t="s">
        <v>83</v>
      </c>
      <c r="F60" s="17">
        <v>50</v>
      </c>
      <c r="G60" s="18">
        <v>1.54</v>
      </c>
      <c r="H60" s="18">
        <f>TRUNC(TRUNC(G60 * K5, 2) + G60, 2)</f>
        <v>1.95</v>
      </c>
      <c r="I60" s="28">
        <f t="shared" si="0"/>
        <v>1.6</v>
      </c>
      <c r="J60" s="13">
        <f t="shared" si="2"/>
        <v>80</v>
      </c>
      <c r="K60" s="19">
        <f>J60 / K4</f>
        <v>4.2778003550574288E-4</v>
      </c>
    </row>
    <row r="61" spans="1:11" ht="24" customHeight="1" x14ac:dyDescent="0.2">
      <c r="A61" s="15" t="s">
        <v>198</v>
      </c>
      <c r="B61" s="15" t="s">
        <v>199</v>
      </c>
      <c r="C61" s="15" t="s">
        <v>200</v>
      </c>
      <c r="D61" s="15" t="s">
        <v>201</v>
      </c>
      <c r="E61" s="16" t="s">
        <v>102</v>
      </c>
      <c r="F61" s="17">
        <v>198</v>
      </c>
      <c r="G61" s="18">
        <v>4.47</v>
      </c>
      <c r="H61" s="18">
        <f>TRUNC(TRUNC(G61 * K5, 2) + G61, 2)</f>
        <v>5.67</v>
      </c>
      <c r="I61" s="28">
        <f t="shared" si="0"/>
        <v>4.67</v>
      </c>
      <c r="J61" s="13">
        <f t="shared" si="2"/>
        <v>924.66</v>
      </c>
      <c r="K61" s="19">
        <f>J61 / K4</f>
        <v>4.9443885953842524E-3</v>
      </c>
    </row>
    <row r="62" spans="1:11" ht="24" customHeight="1" x14ac:dyDescent="0.2">
      <c r="A62" s="15" t="s">
        <v>202</v>
      </c>
      <c r="B62" s="15" t="s">
        <v>203</v>
      </c>
      <c r="C62" s="15" t="s">
        <v>100</v>
      </c>
      <c r="D62" s="15" t="s">
        <v>204</v>
      </c>
      <c r="E62" s="16" t="s">
        <v>102</v>
      </c>
      <c r="F62" s="17">
        <v>1</v>
      </c>
      <c r="G62" s="18">
        <v>29.9</v>
      </c>
      <c r="H62" s="18">
        <f>TRUNC(TRUNC(G62 * K5, 2) + G62, 2)</f>
        <v>37.950000000000003</v>
      </c>
      <c r="I62" s="28">
        <f t="shared" si="0"/>
        <v>31.3</v>
      </c>
      <c r="J62" s="13">
        <f t="shared" si="2"/>
        <v>31.3</v>
      </c>
      <c r="K62" s="19">
        <f>J62 / K4</f>
        <v>1.6736893889162191E-4</v>
      </c>
    </row>
    <row r="63" spans="1:11" ht="26.1" customHeight="1" x14ac:dyDescent="0.2">
      <c r="A63" s="15" t="s">
        <v>205</v>
      </c>
      <c r="B63" s="15" t="s">
        <v>206</v>
      </c>
      <c r="C63" s="15" t="s">
        <v>100</v>
      </c>
      <c r="D63" s="15" t="s">
        <v>207</v>
      </c>
      <c r="E63" s="16" t="s">
        <v>102</v>
      </c>
      <c r="F63" s="17">
        <v>1</v>
      </c>
      <c r="G63" s="18">
        <v>35.119999999999997</v>
      </c>
      <c r="H63" s="18">
        <f>TRUNC(TRUNC(G63 * K5, 2) + G63, 2)</f>
        <v>44.57</v>
      </c>
      <c r="I63" s="28">
        <f t="shared" si="0"/>
        <v>36.770000000000003</v>
      </c>
      <c r="J63" s="13">
        <f t="shared" si="2"/>
        <v>36.770000000000003</v>
      </c>
      <c r="K63" s="19">
        <f>J63 / K4</f>
        <v>1.9661839881932708E-4</v>
      </c>
    </row>
    <row r="64" spans="1:11" ht="24" customHeight="1" x14ac:dyDescent="0.2">
      <c r="A64" s="15" t="s">
        <v>208</v>
      </c>
      <c r="B64" s="15" t="s">
        <v>209</v>
      </c>
      <c r="C64" s="15" t="s">
        <v>147</v>
      </c>
      <c r="D64" s="15" t="s">
        <v>210</v>
      </c>
      <c r="E64" s="16" t="s">
        <v>87</v>
      </c>
      <c r="F64" s="17">
        <v>0.4</v>
      </c>
      <c r="G64" s="18">
        <v>79.02</v>
      </c>
      <c r="H64" s="18">
        <f>TRUNC(TRUNC(G64 * K5, 2) + G64, 2)</f>
        <v>100.3</v>
      </c>
      <c r="I64" s="28">
        <f t="shared" si="0"/>
        <v>82.74</v>
      </c>
      <c r="J64" s="13">
        <f t="shared" si="2"/>
        <v>33.090000000000003</v>
      </c>
      <c r="K64" s="19">
        <f>J64 / K4</f>
        <v>1.7694051718606291E-4</v>
      </c>
    </row>
    <row r="65" spans="1:11" ht="24" customHeight="1" x14ac:dyDescent="0.2">
      <c r="A65" s="15" t="s">
        <v>211</v>
      </c>
      <c r="B65" s="15" t="s">
        <v>212</v>
      </c>
      <c r="C65" s="15" t="s">
        <v>213</v>
      </c>
      <c r="D65" s="15" t="s">
        <v>214</v>
      </c>
      <c r="E65" s="16" t="s">
        <v>102</v>
      </c>
      <c r="F65" s="17">
        <v>3</v>
      </c>
      <c r="G65" s="18">
        <v>0.97</v>
      </c>
      <c r="H65" s="18">
        <f>TRUNC(TRUNC(G65 * K5, 2) + G65, 2)</f>
        <v>1.23</v>
      </c>
      <c r="I65" s="28">
        <f t="shared" si="0"/>
        <v>1.01</v>
      </c>
      <c r="J65" s="13">
        <f t="shared" si="2"/>
        <v>3.03</v>
      </c>
      <c r="K65" s="19">
        <f>J65 / K4</f>
        <v>1.620216884478001E-5</v>
      </c>
    </row>
    <row r="66" spans="1:11" ht="24" customHeight="1" x14ac:dyDescent="0.2">
      <c r="A66" s="15" t="s">
        <v>215</v>
      </c>
      <c r="B66" s="15" t="s">
        <v>216</v>
      </c>
      <c r="C66" s="15" t="s">
        <v>147</v>
      </c>
      <c r="D66" s="15" t="s">
        <v>217</v>
      </c>
      <c r="E66" s="16" t="s">
        <v>218</v>
      </c>
      <c r="F66" s="17">
        <v>1.8</v>
      </c>
      <c r="G66" s="18">
        <v>23.32</v>
      </c>
      <c r="H66" s="18">
        <f>TRUNC(TRUNC(G66 * K5, 2) + G66, 2)</f>
        <v>29.6</v>
      </c>
      <c r="I66" s="28">
        <f t="shared" si="0"/>
        <v>24.42</v>
      </c>
      <c r="J66" s="13">
        <f t="shared" si="2"/>
        <v>43.95</v>
      </c>
      <c r="K66" s="19">
        <f>J66 / K4</f>
        <v>2.3501165700596751E-4</v>
      </c>
    </row>
    <row r="67" spans="1:11" ht="26.1" customHeight="1" x14ac:dyDescent="0.2">
      <c r="A67" s="15" t="s">
        <v>219</v>
      </c>
      <c r="B67" s="15" t="s">
        <v>220</v>
      </c>
      <c r="C67" s="15" t="s">
        <v>26</v>
      </c>
      <c r="D67" s="15" t="s">
        <v>221</v>
      </c>
      <c r="E67" s="16" t="s">
        <v>83</v>
      </c>
      <c r="F67" s="17">
        <v>6</v>
      </c>
      <c r="G67" s="18">
        <v>13.04</v>
      </c>
      <c r="H67" s="18">
        <f>TRUNC(TRUNC(G67 * K5, 2) + G67, 2)</f>
        <v>16.55</v>
      </c>
      <c r="I67" s="28">
        <f t="shared" si="0"/>
        <v>13.65</v>
      </c>
      <c r="J67" s="13">
        <f t="shared" si="2"/>
        <v>81.900000000000006</v>
      </c>
      <c r="K67" s="19">
        <f>J67 / K4</f>
        <v>4.3793981134900429E-4</v>
      </c>
    </row>
    <row r="68" spans="1:11" ht="26.1" customHeight="1" x14ac:dyDescent="0.2">
      <c r="A68" s="15" t="s">
        <v>222</v>
      </c>
      <c r="B68" s="15" t="s">
        <v>223</v>
      </c>
      <c r="C68" s="15" t="s">
        <v>26</v>
      </c>
      <c r="D68" s="15" t="s">
        <v>224</v>
      </c>
      <c r="E68" s="16" t="s">
        <v>83</v>
      </c>
      <c r="F68" s="17">
        <v>4</v>
      </c>
      <c r="G68" s="18">
        <v>23.16</v>
      </c>
      <c r="H68" s="18">
        <f>TRUNC(TRUNC(G68 * K5, 2) + G68, 2)</f>
        <v>29.39</v>
      </c>
      <c r="I68" s="28">
        <f t="shared" si="0"/>
        <v>24.24</v>
      </c>
      <c r="J68" s="13">
        <f t="shared" si="2"/>
        <v>96.96</v>
      </c>
      <c r="K68" s="19">
        <f>J68 / K4</f>
        <v>5.1846940303296033E-4</v>
      </c>
    </row>
    <row r="69" spans="1:11" ht="26.1" customHeight="1" x14ac:dyDescent="0.2">
      <c r="A69" s="15" t="s">
        <v>225</v>
      </c>
      <c r="B69" s="15" t="s">
        <v>226</v>
      </c>
      <c r="C69" s="15" t="s">
        <v>26</v>
      </c>
      <c r="D69" s="15" t="s">
        <v>227</v>
      </c>
      <c r="E69" s="16" t="s">
        <v>83</v>
      </c>
      <c r="F69" s="17">
        <v>2</v>
      </c>
      <c r="G69" s="18">
        <v>59.04</v>
      </c>
      <c r="H69" s="18">
        <f>TRUNC(TRUNC(G69 * K5, 2) + G69, 2)</f>
        <v>74.930000000000007</v>
      </c>
      <c r="I69" s="28">
        <f t="shared" si="0"/>
        <v>61.81</v>
      </c>
      <c r="J69" s="13">
        <f t="shared" si="2"/>
        <v>123.62</v>
      </c>
      <c r="K69" s="19">
        <f>J69 / K4</f>
        <v>6.6102709986524922E-4</v>
      </c>
    </row>
    <row r="70" spans="1:11" ht="26.1" customHeight="1" x14ac:dyDescent="0.2">
      <c r="A70" s="15" t="s">
        <v>228</v>
      </c>
      <c r="B70" s="15" t="s">
        <v>229</v>
      </c>
      <c r="C70" s="15" t="s">
        <v>26</v>
      </c>
      <c r="D70" s="15" t="s">
        <v>230</v>
      </c>
      <c r="E70" s="16" t="s">
        <v>83</v>
      </c>
      <c r="F70" s="17">
        <v>3</v>
      </c>
      <c r="G70" s="18">
        <v>29.95</v>
      </c>
      <c r="H70" s="18">
        <f>TRUNC(TRUNC(G70 * K5, 2) + G70, 2)</f>
        <v>38.01</v>
      </c>
      <c r="I70" s="28">
        <f t="shared" si="0"/>
        <v>31.35</v>
      </c>
      <c r="J70" s="13">
        <f t="shared" si="2"/>
        <v>94.05</v>
      </c>
      <c r="K70" s="19">
        <f>J70 / K4</f>
        <v>5.0290890424143893E-4</v>
      </c>
    </row>
    <row r="71" spans="1:11" ht="24" customHeight="1" x14ac:dyDescent="0.2">
      <c r="A71" s="15" t="s">
        <v>231</v>
      </c>
      <c r="B71" s="15" t="s">
        <v>232</v>
      </c>
      <c r="C71" s="15" t="s">
        <v>154</v>
      </c>
      <c r="D71" s="15" t="s">
        <v>233</v>
      </c>
      <c r="E71" s="16" t="s">
        <v>102</v>
      </c>
      <c r="F71" s="17">
        <v>4</v>
      </c>
      <c r="G71" s="18">
        <v>7.82</v>
      </c>
      <c r="H71" s="18">
        <f>TRUNC(TRUNC(G71 * K5, 2) + G71, 2)</f>
        <v>9.92</v>
      </c>
      <c r="I71" s="28">
        <f t="shared" si="0"/>
        <v>8.18</v>
      </c>
      <c r="J71" s="13">
        <f t="shared" si="2"/>
        <v>32.72</v>
      </c>
      <c r="K71" s="19">
        <f>J71 / K4</f>
        <v>1.7496203452184884E-4</v>
      </c>
    </row>
    <row r="72" spans="1:11" ht="24" customHeight="1" x14ac:dyDescent="0.2">
      <c r="A72" s="15" t="s">
        <v>234</v>
      </c>
      <c r="B72" s="15" t="s">
        <v>235</v>
      </c>
      <c r="C72" s="15" t="s">
        <v>236</v>
      </c>
      <c r="D72" s="15" t="s">
        <v>237</v>
      </c>
      <c r="E72" s="16" t="s">
        <v>83</v>
      </c>
      <c r="F72" s="17">
        <v>5</v>
      </c>
      <c r="G72" s="18">
        <v>1.9</v>
      </c>
      <c r="H72" s="18">
        <f>TRUNC(TRUNC(G72 * K5, 2) + G72, 2)</f>
        <v>2.41</v>
      </c>
      <c r="I72" s="28">
        <f t="shared" si="0"/>
        <v>1.98</v>
      </c>
      <c r="J72" s="13">
        <f t="shared" si="2"/>
        <v>9.9</v>
      </c>
      <c r="K72" s="19">
        <f>J72 / K4</f>
        <v>5.2937779393835683E-5</v>
      </c>
    </row>
    <row r="73" spans="1:11" ht="24" customHeight="1" x14ac:dyDescent="0.2">
      <c r="A73" s="15" t="s">
        <v>238</v>
      </c>
      <c r="B73" s="15" t="s">
        <v>239</v>
      </c>
      <c r="C73" s="15" t="s">
        <v>158</v>
      </c>
      <c r="D73" s="15" t="s">
        <v>240</v>
      </c>
      <c r="E73" s="16" t="s">
        <v>241</v>
      </c>
      <c r="F73" s="17">
        <v>3</v>
      </c>
      <c r="G73" s="18">
        <v>19.989999999999998</v>
      </c>
      <c r="H73" s="18">
        <f>TRUNC(TRUNC(G73 * K5, 2) + G73, 2)</f>
        <v>25.37</v>
      </c>
      <c r="I73" s="28">
        <f t="shared" si="0"/>
        <v>20.93</v>
      </c>
      <c r="J73" s="13">
        <f t="shared" si="2"/>
        <v>62.79</v>
      </c>
      <c r="K73" s="19">
        <f>J73 / K4</f>
        <v>3.3575385536756996E-4</v>
      </c>
    </row>
    <row r="74" spans="1:11" ht="51.95" customHeight="1" x14ac:dyDescent="0.2">
      <c r="A74" s="15" t="s">
        <v>242</v>
      </c>
      <c r="B74" s="15" t="s">
        <v>243</v>
      </c>
      <c r="C74" s="15" t="s">
        <v>183</v>
      </c>
      <c r="D74" s="15" t="s">
        <v>244</v>
      </c>
      <c r="E74" s="16" t="s">
        <v>164</v>
      </c>
      <c r="F74" s="17">
        <v>5.04</v>
      </c>
      <c r="G74" s="18">
        <v>101.17</v>
      </c>
      <c r="H74" s="18">
        <f>TRUNC(TRUNC(G74 * K5, 2) + G74, 2)</f>
        <v>128.41</v>
      </c>
      <c r="I74" s="28">
        <f t="shared" ref="I74:I116" si="3">TRUNC(H74-(H74*$K$6),2)</f>
        <v>105.93</v>
      </c>
      <c r="J74" s="13">
        <f t="shared" si="2"/>
        <v>533.88</v>
      </c>
      <c r="K74" s="19">
        <f>J74 / K4</f>
        <v>2.8547900669475749E-3</v>
      </c>
    </row>
    <row r="75" spans="1:11" ht="24" customHeight="1" x14ac:dyDescent="0.2">
      <c r="A75" s="15" t="s">
        <v>245</v>
      </c>
      <c r="B75" s="15" t="s">
        <v>246</v>
      </c>
      <c r="C75" s="15" t="s">
        <v>90</v>
      </c>
      <c r="D75" s="15" t="s">
        <v>247</v>
      </c>
      <c r="E75" s="16" t="s">
        <v>177</v>
      </c>
      <c r="F75" s="17">
        <v>2</v>
      </c>
      <c r="G75" s="18">
        <v>41.02</v>
      </c>
      <c r="H75" s="18">
        <f>TRUNC(TRUNC(G75 * K5, 2) + G75, 2)</f>
        <v>52.06</v>
      </c>
      <c r="I75" s="28">
        <f t="shared" si="3"/>
        <v>42.94</v>
      </c>
      <c r="J75" s="13">
        <f t="shared" si="2"/>
        <v>85.88</v>
      </c>
      <c r="K75" s="19">
        <f>J75 / K4</f>
        <v>4.5922186811541495E-4</v>
      </c>
    </row>
    <row r="76" spans="1:11" ht="24" customHeight="1" x14ac:dyDescent="0.2">
      <c r="A76" s="15" t="s">
        <v>248</v>
      </c>
      <c r="B76" s="15" t="s">
        <v>249</v>
      </c>
      <c r="C76" s="15" t="s">
        <v>250</v>
      </c>
      <c r="D76" s="15" t="s">
        <v>251</v>
      </c>
      <c r="E76" s="16" t="s">
        <v>177</v>
      </c>
      <c r="F76" s="17">
        <v>9</v>
      </c>
      <c r="G76" s="18">
        <v>7.22</v>
      </c>
      <c r="H76" s="18">
        <f>TRUNC(TRUNC(G76 * K5, 2) + G76, 2)</f>
        <v>9.16</v>
      </c>
      <c r="I76" s="28">
        <f t="shared" si="3"/>
        <v>7.55</v>
      </c>
      <c r="J76" s="13">
        <f t="shared" si="2"/>
        <v>67.95</v>
      </c>
      <c r="K76" s="19">
        <f>J76 / K4</f>
        <v>3.6334566765769036E-4</v>
      </c>
    </row>
    <row r="77" spans="1:11" ht="26.1" customHeight="1" x14ac:dyDescent="0.2">
      <c r="A77" s="15" t="s">
        <v>252</v>
      </c>
      <c r="B77" s="15" t="s">
        <v>253</v>
      </c>
      <c r="C77" s="15" t="s">
        <v>26</v>
      </c>
      <c r="D77" s="15" t="s">
        <v>254</v>
      </c>
      <c r="E77" s="16" t="s">
        <v>218</v>
      </c>
      <c r="F77" s="17">
        <v>0.17499999999999999</v>
      </c>
      <c r="G77" s="18">
        <v>97.2</v>
      </c>
      <c r="H77" s="18">
        <f>TRUNC(TRUNC(G77 * K5, 2) + G77, 2)</f>
        <v>123.37</v>
      </c>
      <c r="I77" s="28">
        <f t="shared" si="3"/>
        <v>101.78</v>
      </c>
      <c r="J77" s="13">
        <f t="shared" si="2"/>
        <v>17.809999999999999</v>
      </c>
      <c r="K77" s="19">
        <f>J77 / K4</f>
        <v>9.5234530404465998E-5</v>
      </c>
    </row>
    <row r="78" spans="1:11" ht="26.1" customHeight="1" x14ac:dyDescent="0.2">
      <c r="A78" s="15" t="s">
        <v>255</v>
      </c>
      <c r="B78" s="15" t="s">
        <v>256</v>
      </c>
      <c r="C78" s="15" t="s">
        <v>100</v>
      </c>
      <c r="D78" s="15" t="s">
        <v>257</v>
      </c>
      <c r="E78" s="16" t="s">
        <v>112</v>
      </c>
      <c r="F78" s="17">
        <v>0.4</v>
      </c>
      <c r="G78" s="18">
        <v>92.32</v>
      </c>
      <c r="H78" s="18">
        <f>TRUNC(TRUNC(G78 * K5, 2) + G78, 2)</f>
        <v>117.18</v>
      </c>
      <c r="I78" s="28">
        <f t="shared" si="3"/>
        <v>96.67</v>
      </c>
      <c r="J78" s="13">
        <f t="shared" si="2"/>
        <v>38.659999999999997</v>
      </c>
      <c r="K78" s="19">
        <f>J78 / K4</f>
        <v>2.0672470215815023E-4</v>
      </c>
    </row>
    <row r="79" spans="1:11" ht="24" customHeight="1" x14ac:dyDescent="0.2">
      <c r="A79" s="15" t="s">
        <v>258</v>
      </c>
      <c r="B79" s="15" t="s">
        <v>259</v>
      </c>
      <c r="C79" s="15" t="s">
        <v>90</v>
      </c>
      <c r="D79" s="15" t="s">
        <v>260</v>
      </c>
      <c r="E79" s="16" t="s">
        <v>83</v>
      </c>
      <c r="F79" s="17">
        <v>1</v>
      </c>
      <c r="G79" s="18">
        <v>57.67</v>
      </c>
      <c r="H79" s="18">
        <f>TRUNC(TRUNC(G79 * K5, 2) + G79, 2)</f>
        <v>73.2</v>
      </c>
      <c r="I79" s="28">
        <f t="shared" si="3"/>
        <v>60.39</v>
      </c>
      <c r="J79" s="13">
        <f t="shared" si="2"/>
        <v>60.39</v>
      </c>
      <c r="K79" s="19">
        <f>J79 / K4</f>
        <v>3.2292045430239765E-4</v>
      </c>
    </row>
    <row r="80" spans="1:11" ht="24" customHeight="1" x14ac:dyDescent="0.2">
      <c r="A80" s="15" t="s">
        <v>261</v>
      </c>
      <c r="B80" s="15" t="s">
        <v>262</v>
      </c>
      <c r="C80" s="15" t="s">
        <v>263</v>
      </c>
      <c r="D80" s="15" t="s">
        <v>264</v>
      </c>
      <c r="E80" s="16" t="s">
        <v>102</v>
      </c>
      <c r="F80" s="17">
        <v>1</v>
      </c>
      <c r="G80" s="18">
        <v>60</v>
      </c>
      <c r="H80" s="18">
        <f>TRUNC(TRUNC(G80 * K5, 2) + G80, 2)</f>
        <v>76.150000000000006</v>
      </c>
      <c r="I80" s="28">
        <f t="shared" si="3"/>
        <v>62.82</v>
      </c>
      <c r="J80" s="13">
        <f t="shared" si="2"/>
        <v>62.82</v>
      </c>
      <c r="K80" s="19">
        <f>J80 / K4</f>
        <v>3.3591427288088459E-4</v>
      </c>
    </row>
    <row r="81" spans="1:11" ht="26.1" customHeight="1" x14ac:dyDescent="0.2">
      <c r="A81" s="15" t="s">
        <v>265</v>
      </c>
      <c r="B81" s="15" t="s">
        <v>266</v>
      </c>
      <c r="C81" s="15" t="s">
        <v>263</v>
      </c>
      <c r="D81" s="15" t="s">
        <v>267</v>
      </c>
      <c r="E81" s="16" t="s">
        <v>102</v>
      </c>
      <c r="F81" s="17">
        <v>2</v>
      </c>
      <c r="G81" s="18">
        <v>7.04</v>
      </c>
      <c r="H81" s="18">
        <f>TRUNC(TRUNC(G81 * K5, 2) + G81, 2)</f>
        <v>8.93</v>
      </c>
      <c r="I81" s="28">
        <f t="shared" si="3"/>
        <v>7.36</v>
      </c>
      <c r="J81" s="13">
        <f t="shared" si="2"/>
        <v>14.72</v>
      </c>
      <c r="K81" s="19">
        <f>J81 / K4</f>
        <v>7.8711526533056697E-5</v>
      </c>
    </row>
    <row r="82" spans="1:11" ht="24" customHeight="1" x14ac:dyDescent="0.2">
      <c r="A82" s="15" t="s">
        <v>268</v>
      </c>
      <c r="B82" s="15" t="s">
        <v>269</v>
      </c>
      <c r="C82" s="15" t="s">
        <v>26</v>
      </c>
      <c r="D82" s="15" t="s">
        <v>270</v>
      </c>
      <c r="E82" s="16" t="s">
        <v>83</v>
      </c>
      <c r="F82" s="17">
        <v>2</v>
      </c>
      <c r="G82" s="18">
        <v>51.88</v>
      </c>
      <c r="H82" s="18">
        <f>TRUNC(TRUNC(G82 * K5, 2) + G82, 2)</f>
        <v>65.849999999999994</v>
      </c>
      <c r="I82" s="28">
        <f t="shared" si="3"/>
        <v>54.32</v>
      </c>
      <c r="J82" s="13">
        <f t="shared" si="2"/>
        <v>108.64</v>
      </c>
      <c r="K82" s="19">
        <f>J82 / K4</f>
        <v>5.8092528821679888E-4</v>
      </c>
    </row>
    <row r="83" spans="1:11" ht="24" customHeight="1" x14ac:dyDescent="0.2">
      <c r="A83" s="15" t="s">
        <v>271</v>
      </c>
      <c r="B83" s="15" t="s">
        <v>272</v>
      </c>
      <c r="C83" s="15" t="s">
        <v>26</v>
      </c>
      <c r="D83" s="15" t="s">
        <v>273</v>
      </c>
      <c r="E83" s="16" t="s">
        <v>83</v>
      </c>
      <c r="F83" s="17">
        <v>1</v>
      </c>
      <c r="G83" s="18">
        <v>62.63</v>
      </c>
      <c r="H83" s="18">
        <f>TRUNC(TRUNC(G83 * K5, 2) + G83, 2)</f>
        <v>79.489999999999995</v>
      </c>
      <c r="I83" s="28">
        <f t="shared" si="3"/>
        <v>65.569999999999993</v>
      </c>
      <c r="J83" s="13">
        <f t="shared" si="2"/>
        <v>65.569999999999993</v>
      </c>
      <c r="K83" s="19">
        <f>J83 / K4</f>
        <v>3.5061921160139449E-4</v>
      </c>
    </row>
    <row r="84" spans="1:11" ht="26.1" customHeight="1" x14ac:dyDescent="0.2">
      <c r="A84" s="15" t="s">
        <v>274</v>
      </c>
      <c r="B84" s="15" t="s">
        <v>275</v>
      </c>
      <c r="C84" s="15" t="s">
        <v>90</v>
      </c>
      <c r="D84" s="15" t="s">
        <v>276</v>
      </c>
      <c r="E84" s="16" t="s">
        <v>83</v>
      </c>
      <c r="F84" s="17">
        <v>12</v>
      </c>
      <c r="G84" s="18">
        <v>478.86</v>
      </c>
      <c r="H84" s="18">
        <f>TRUNC(TRUNC(G84 * K5, 2) + G84, 2)</f>
        <v>607.80999999999995</v>
      </c>
      <c r="I84" s="28">
        <f t="shared" si="3"/>
        <v>501.44</v>
      </c>
      <c r="J84" s="13">
        <f t="shared" si="2"/>
        <v>6017.28</v>
      </c>
      <c r="K84" s="19">
        <f>J84 / K4</f>
        <v>3.2175903150599955E-2</v>
      </c>
    </row>
    <row r="85" spans="1:11" ht="24" customHeight="1" x14ac:dyDescent="0.2">
      <c r="A85" s="15" t="s">
        <v>277</v>
      </c>
      <c r="B85" s="15" t="s">
        <v>278</v>
      </c>
      <c r="C85" s="15" t="s">
        <v>143</v>
      </c>
      <c r="D85" s="15" t="s">
        <v>279</v>
      </c>
      <c r="E85" s="16" t="s">
        <v>83</v>
      </c>
      <c r="F85" s="17">
        <v>1</v>
      </c>
      <c r="G85" s="18">
        <v>6.54</v>
      </c>
      <c r="H85" s="18">
        <f>TRUNC(TRUNC(G85 * K5, 2) + G85, 2)</f>
        <v>8.3000000000000007</v>
      </c>
      <c r="I85" s="28">
        <f t="shared" si="3"/>
        <v>6.84</v>
      </c>
      <c r="J85" s="13">
        <f t="shared" si="2"/>
        <v>6.84</v>
      </c>
      <c r="K85" s="19">
        <f>J85 / K4</f>
        <v>3.6575193035741019E-5</v>
      </c>
    </row>
    <row r="86" spans="1:11" ht="26.1" customHeight="1" x14ac:dyDescent="0.2">
      <c r="A86" s="15" t="s">
        <v>280</v>
      </c>
      <c r="B86" s="15" t="s">
        <v>281</v>
      </c>
      <c r="C86" s="15" t="s">
        <v>26</v>
      </c>
      <c r="D86" s="15" t="s">
        <v>282</v>
      </c>
      <c r="E86" s="16" t="s">
        <v>218</v>
      </c>
      <c r="F86" s="17">
        <v>1</v>
      </c>
      <c r="G86" s="18">
        <v>164.47</v>
      </c>
      <c r="H86" s="18">
        <f>TRUNC(TRUNC(G86 * K5, 2) + G86, 2)</f>
        <v>208.76</v>
      </c>
      <c r="I86" s="28">
        <f t="shared" si="3"/>
        <v>172.22</v>
      </c>
      <c r="J86" s="13">
        <f t="shared" si="2"/>
        <v>172.22</v>
      </c>
      <c r="K86" s="19">
        <f>J86 / K4</f>
        <v>9.2090347143498799E-4</v>
      </c>
    </row>
    <row r="87" spans="1:11" ht="24" customHeight="1" x14ac:dyDescent="0.2">
      <c r="A87" s="15" t="s">
        <v>283</v>
      </c>
      <c r="B87" s="15" t="s">
        <v>284</v>
      </c>
      <c r="C87" s="15" t="s">
        <v>26</v>
      </c>
      <c r="D87" s="15" t="s">
        <v>285</v>
      </c>
      <c r="E87" s="16" t="s">
        <v>83</v>
      </c>
      <c r="F87" s="17">
        <v>4</v>
      </c>
      <c r="G87" s="18">
        <v>93.35</v>
      </c>
      <c r="H87" s="18">
        <f>TRUNC(TRUNC(G87 * K5, 2) + G87, 2)</f>
        <v>118.48</v>
      </c>
      <c r="I87" s="28">
        <f t="shared" si="3"/>
        <v>97.74</v>
      </c>
      <c r="J87" s="13">
        <f t="shared" si="2"/>
        <v>390.96</v>
      </c>
      <c r="K87" s="19">
        <f>J87 / K4</f>
        <v>2.0905610335165653E-3</v>
      </c>
    </row>
    <row r="88" spans="1:11" ht="39" customHeight="1" x14ac:dyDescent="0.2">
      <c r="A88" s="15" t="s">
        <v>286</v>
      </c>
      <c r="B88" s="15" t="s">
        <v>287</v>
      </c>
      <c r="C88" s="15" t="s">
        <v>26</v>
      </c>
      <c r="D88" s="15" t="s">
        <v>288</v>
      </c>
      <c r="E88" s="16" t="s">
        <v>83</v>
      </c>
      <c r="F88" s="17">
        <v>5</v>
      </c>
      <c r="G88" s="18">
        <v>9.9700000000000006</v>
      </c>
      <c r="H88" s="18">
        <f>TRUNC(TRUNC(G88 * K5, 2) + G88, 2)</f>
        <v>12.65</v>
      </c>
      <c r="I88" s="28">
        <f t="shared" si="3"/>
        <v>10.43</v>
      </c>
      <c r="J88" s="13">
        <f t="shared" si="2"/>
        <v>52.15</v>
      </c>
      <c r="K88" s="19">
        <f>J88 / K4</f>
        <v>2.7885911064530613E-4</v>
      </c>
    </row>
    <row r="89" spans="1:11" ht="26.1" customHeight="1" x14ac:dyDescent="0.2">
      <c r="A89" s="15" t="s">
        <v>289</v>
      </c>
      <c r="B89" s="15" t="s">
        <v>290</v>
      </c>
      <c r="C89" s="15" t="s">
        <v>100</v>
      </c>
      <c r="D89" s="15" t="s">
        <v>291</v>
      </c>
      <c r="E89" s="16" t="s">
        <v>102</v>
      </c>
      <c r="F89" s="17">
        <v>3</v>
      </c>
      <c r="G89" s="18">
        <v>12.5</v>
      </c>
      <c r="H89" s="18">
        <f>TRUNC(TRUNC(G89 * K5, 2) + G89, 2)</f>
        <v>15.86</v>
      </c>
      <c r="I89" s="28">
        <f t="shared" si="3"/>
        <v>13.08</v>
      </c>
      <c r="J89" s="13">
        <f t="shared" ref="J89:J116" si="4">TRUNC(F89 * I89,2)</f>
        <v>39.24</v>
      </c>
      <c r="K89" s="19">
        <f>J89 / K4</f>
        <v>2.098261074155669E-4</v>
      </c>
    </row>
    <row r="90" spans="1:11" ht="26.1" customHeight="1" x14ac:dyDescent="0.2">
      <c r="A90" s="15" t="s">
        <v>292</v>
      </c>
      <c r="B90" s="15" t="s">
        <v>293</v>
      </c>
      <c r="C90" s="15" t="s">
        <v>143</v>
      </c>
      <c r="D90" s="15" t="s">
        <v>294</v>
      </c>
      <c r="E90" s="16" t="s">
        <v>83</v>
      </c>
      <c r="F90" s="17">
        <v>2</v>
      </c>
      <c r="G90" s="18">
        <v>26.16</v>
      </c>
      <c r="H90" s="18">
        <f>TRUNC(TRUNC(G90 * K5, 2) + G90, 2)</f>
        <v>33.200000000000003</v>
      </c>
      <c r="I90" s="28">
        <f t="shared" si="3"/>
        <v>27.39</v>
      </c>
      <c r="J90" s="13">
        <f t="shared" si="4"/>
        <v>54.78</v>
      </c>
      <c r="K90" s="19">
        <f>J90 / K4</f>
        <v>2.9292237931255742E-4</v>
      </c>
    </row>
    <row r="91" spans="1:11" ht="24" customHeight="1" x14ac:dyDescent="0.2">
      <c r="A91" s="15" t="s">
        <v>295</v>
      </c>
      <c r="B91" s="15" t="s">
        <v>296</v>
      </c>
      <c r="C91" s="15" t="s">
        <v>213</v>
      </c>
      <c r="D91" s="15" t="s">
        <v>297</v>
      </c>
      <c r="E91" s="16" t="s">
        <v>102</v>
      </c>
      <c r="F91" s="17">
        <v>5</v>
      </c>
      <c r="G91" s="18">
        <v>20.5</v>
      </c>
      <c r="H91" s="18">
        <f>TRUNC(TRUNC(G91 * K5, 2) + G91, 2)</f>
        <v>26.02</v>
      </c>
      <c r="I91" s="28">
        <f t="shared" si="3"/>
        <v>21.46</v>
      </c>
      <c r="J91" s="13">
        <f t="shared" si="4"/>
        <v>107.3</v>
      </c>
      <c r="K91" s="19">
        <f>J91 / K4</f>
        <v>5.7375997262207757E-4</v>
      </c>
    </row>
    <row r="92" spans="1:11" ht="26.1" customHeight="1" x14ac:dyDescent="0.2">
      <c r="A92" s="15" t="s">
        <v>298</v>
      </c>
      <c r="B92" s="15" t="s">
        <v>299</v>
      </c>
      <c r="C92" s="15" t="s">
        <v>90</v>
      </c>
      <c r="D92" s="15" t="s">
        <v>300</v>
      </c>
      <c r="E92" s="16" t="s">
        <v>83</v>
      </c>
      <c r="F92" s="17">
        <v>7</v>
      </c>
      <c r="G92" s="18">
        <v>36.270000000000003</v>
      </c>
      <c r="H92" s="18">
        <f>TRUNC(TRUNC(G92 * K5, 2) + G92, 2)</f>
        <v>46.03</v>
      </c>
      <c r="I92" s="28">
        <f t="shared" si="3"/>
        <v>37.97</v>
      </c>
      <c r="J92" s="13">
        <f t="shared" si="4"/>
        <v>265.79000000000002</v>
      </c>
      <c r="K92" s="19">
        <f>J92 / K4</f>
        <v>1.4212456954633926E-3</v>
      </c>
    </row>
    <row r="93" spans="1:11" ht="26.1" customHeight="1" x14ac:dyDescent="0.2">
      <c r="A93" s="15" t="s">
        <v>301</v>
      </c>
      <c r="B93" s="15" t="s">
        <v>302</v>
      </c>
      <c r="C93" s="15" t="s">
        <v>154</v>
      </c>
      <c r="D93" s="15" t="s">
        <v>303</v>
      </c>
      <c r="E93" s="16" t="s">
        <v>102</v>
      </c>
      <c r="F93" s="17">
        <v>6</v>
      </c>
      <c r="G93" s="18">
        <v>2.4</v>
      </c>
      <c r="H93" s="18">
        <f>TRUNC(TRUNC(G93 * K5, 2) + G93, 2)</f>
        <v>3.04</v>
      </c>
      <c r="I93" s="28">
        <f t="shared" si="3"/>
        <v>2.5</v>
      </c>
      <c r="J93" s="13">
        <f t="shared" si="4"/>
        <v>15</v>
      </c>
      <c r="K93" s="19">
        <f>J93 / K4</f>
        <v>8.020875665732679E-5</v>
      </c>
    </row>
    <row r="94" spans="1:11" ht="24" customHeight="1" x14ac:dyDescent="0.2">
      <c r="A94" s="15" t="s">
        <v>304</v>
      </c>
      <c r="B94" s="15" t="s">
        <v>305</v>
      </c>
      <c r="C94" s="15" t="s">
        <v>90</v>
      </c>
      <c r="D94" s="15" t="s">
        <v>306</v>
      </c>
      <c r="E94" s="16" t="s">
        <v>177</v>
      </c>
      <c r="F94" s="17">
        <v>50</v>
      </c>
      <c r="G94" s="18">
        <v>7.49</v>
      </c>
      <c r="H94" s="18">
        <f>TRUNC(TRUNC(G94 * K5, 2) + G94, 2)</f>
        <v>9.5</v>
      </c>
      <c r="I94" s="28">
        <f t="shared" si="3"/>
        <v>7.83</v>
      </c>
      <c r="J94" s="13">
        <f t="shared" si="4"/>
        <v>391.5</v>
      </c>
      <c r="K94" s="19">
        <f>J94 / K4</f>
        <v>2.0934485487562292E-3</v>
      </c>
    </row>
    <row r="95" spans="1:11" ht="26.1" customHeight="1" x14ac:dyDescent="0.2">
      <c r="A95" s="15" t="s">
        <v>307</v>
      </c>
      <c r="B95" s="15" t="s">
        <v>308</v>
      </c>
      <c r="C95" s="15" t="s">
        <v>154</v>
      </c>
      <c r="D95" s="15" t="s">
        <v>309</v>
      </c>
      <c r="E95" s="16" t="s">
        <v>102</v>
      </c>
      <c r="F95" s="17">
        <v>1</v>
      </c>
      <c r="G95" s="18">
        <v>28.27</v>
      </c>
      <c r="H95" s="18">
        <f>TRUNC(TRUNC(G95 * K5, 2) + G95, 2)</f>
        <v>35.880000000000003</v>
      </c>
      <c r="I95" s="28">
        <f t="shared" si="3"/>
        <v>29.6</v>
      </c>
      <c r="J95" s="13">
        <f t="shared" si="4"/>
        <v>29.6</v>
      </c>
      <c r="K95" s="19">
        <f>J95 / K4</f>
        <v>1.5827861313712487E-4</v>
      </c>
    </row>
    <row r="96" spans="1:11" ht="24" customHeight="1" x14ac:dyDescent="0.2">
      <c r="A96" s="15" t="s">
        <v>310</v>
      </c>
      <c r="B96" s="15" t="s">
        <v>311</v>
      </c>
      <c r="C96" s="15" t="s">
        <v>90</v>
      </c>
      <c r="D96" s="15" t="s">
        <v>312</v>
      </c>
      <c r="E96" s="16" t="s">
        <v>83</v>
      </c>
      <c r="F96" s="17">
        <v>1</v>
      </c>
      <c r="G96" s="18">
        <v>9.19</v>
      </c>
      <c r="H96" s="18">
        <f>TRUNC(TRUNC(G96 * K5, 2) + G96, 2)</f>
        <v>11.66</v>
      </c>
      <c r="I96" s="28">
        <f t="shared" si="3"/>
        <v>9.61</v>
      </c>
      <c r="J96" s="13">
        <f t="shared" si="4"/>
        <v>9.61</v>
      </c>
      <c r="K96" s="19">
        <f>J96 / K4</f>
        <v>5.1387076765127357E-5</v>
      </c>
    </row>
    <row r="97" spans="1:11" ht="39" customHeight="1" x14ac:dyDescent="0.2">
      <c r="A97" s="15" t="s">
        <v>313</v>
      </c>
      <c r="B97" s="15" t="s">
        <v>314</v>
      </c>
      <c r="C97" s="15" t="s">
        <v>26</v>
      </c>
      <c r="D97" s="15" t="s">
        <v>315</v>
      </c>
      <c r="E97" s="16" t="s">
        <v>83</v>
      </c>
      <c r="F97" s="17">
        <v>3</v>
      </c>
      <c r="G97" s="18">
        <v>35.24</v>
      </c>
      <c r="H97" s="18">
        <f>TRUNC(TRUNC(G97 * K5, 2) + G97, 2)</f>
        <v>44.73</v>
      </c>
      <c r="I97" s="28">
        <f t="shared" si="3"/>
        <v>36.9</v>
      </c>
      <c r="J97" s="13">
        <f t="shared" si="4"/>
        <v>110.7</v>
      </c>
      <c r="K97" s="19">
        <f>J97 / K4</f>
        <v>5.919406241310717E-4</v>
      </c>
    </row>
    <row r="98" spans="1:11" ht="26.1" customHeight="1" x14ac:dyDescent="0.2">
      <c r="A98" s="15" t="s">
        <v>316</v>
      </c>
      <c r="B98" s="15" t="s">
        <v>317</v>
      </c>
      <c r="C98" s="15" t="s">
        <v>263</v>
      </c>
      <c r="D98" s="15" t="s">
        <v>318</v>
      </c>
      <c r="E98" s="16" t="s">
        <v>112</v>
      </c>
      <c r="F98" s="17">
        <v>0.8</v>
      </c>
      <c r="G98" s="18">
        <v>52.71</v>
      </c>
      <c r="H98" s="18">
        <f>TRUNC(TRUNC(G98 * K5, 2) + G98, 2)</f>
        <v>66.900000000000006</v>
      </c>
      <c r="I98" s="28">
        <f t="shared" si="3"/>
        <v>55.19</v>
      </c>
      <c r="J98" s="13">
        <f t="shared" si="4"/>
        <v>44.15</v>
      </c>
      <c r="K98" s="19">
        <f>J98 / K4</f>
        <v>2.3608110709473184E-4</v>
      </c>
    </row>
    <row r="99" spans="1:11" ht="24" customHeight="1" x14ac:dyDescent="0.2">
      <c r="A99" s="15" t="s">
        <v>319</v>
      </c>
      <c r="B99" s="15" t="s">
        <v>320</v>
      </c>
      <c r="C99" s="15" t="s">
        <v>158</v>
      </c>
      <c r="D99" s="15" t="s">
        <v>321</v>
      </c>
      <c r="E99" s="16" t="s">
        <v>102</v>
      </c>
      <c r="F99" s="17">
        <v>10</v>
      </c>
      <c r="G99" s="18">
        <v>0.23</v>
      </c>
      <c r="H99" s="18">
        <f>TRUNC(TRUNC(G99 * K5, 2) + G99, 2)</f>
        <v>0.28999999999999998</v>
      </c>
      <c r="I99" s="28">
        <f t="shared" si="3"/>
        <v>0.23</v>
      </c>
      <c r="J99" s="13">
        <f t="shared" si="4"/>
        <v>2.2999999999999998</v>
      </c>
      <c r="K99" s="19">
        <f>J99 / K4</f>
        <v>1.2298676020790108E-5</v>
      </c>
    </row>
    <row r="100" spans="1:11" ht="24" customHeight="1" x14ac:dyDescent="0.2">
      <c r="A100" s="15" t="s">
        <v>322</v>
      </c>
      <c r="B100" s="15" t="s">
        <v>323</v>
      </c>
      <c r="C100" s="15" t="s">
        <v>90</v>
      </c>
      <c r="D100" s="15" t="s">
        <v>324</v>
      </c>
      <c r="E100" s="16" t="s">
        <v>191</v>
      </c>
      <c r="F100" s="17">
        <v>1</v>
      </c>
      <c r="G100" s="18">
        <v>16.899999999999999</v>
      </c>
      <c r="H100" s="18">
        <f>TRUNC(TRUNC(G100 * K5, 2) + G100, 2)</f>
        <v>21.45</v>
      </c>
      <c r="I100" s="28">
        <f t="shared" si="3"/>
        <v>17.690000000000001</v>
      </c>
      <c r="J100" s="13">
        <f t="shared" si="4"/>
        <v>17.690000000000001</v>
      </c>
      <c r="K100" s="19">
        <f>J100 / K4</f>
        <v>9.4592860351207396E-5</v>
      </c>
    </row>
    <row r="101" spans="1:11" ht="24" customHeight="1" x14ac:dyDescent="0.2">
      <c r="A101" s="15" t="s">
        <v>325</v>
      </c>
      <c r="B101" s="15" t="s">
        <v>326</v>
      </c>
      <c r="C101" s="15" t="s">
        <v>213</v>
      </c>
      <c r="D101" s="15" t="s">
        <v>327</v>
      </c>
      <c r="E101" s="16" t="s">
        <v>102</v>
      </c>
      <c r="F101" s="17">
        <v>100</v>
      </c>
      <c r="G101" s="18">
        <v>0.26</v>
      </c>
      <c r="H101" s="18">
        <f>TRUNC(TRUNC(G101 * K5, 2) + G101, 2)</f>
        <v>0.33</v>
      </c>
      <c r="I101" s="28">
        <f t="shared" si="3"/>
        <v>0.27</v>
      </c>
      <c r="J101" s="13">
        <f t="shared" si="4"/>
        <v>27</v>
      </c>
      <c r="K101" s="19">
        <f>J101 / K4</f>
        <v>1.4437576198318822E-4</v>
      </c>
    </row>
    <row r="102" spans="1:11" ht="24" customHeight="1" x14ac:dyDescent="0.2">
      <c r="A102" s="15" t="s">
        <v>328</v>
      </c>
      <c r="B102" s="15" t="s">
        <v>329</v>
      </c>
      <c r="C102" s="15" t="s">
        <v>213</v>
      </c>
      <c r="D102" s="15" t="s">
        <v>330</v>
      </c>
      <c r="E102" s="16" t="s">
        <v>160</v>
      </c>
      <c r="F102" s="17">
        <v>12</v>
      </c>
      <c r="G102" s="18">
        <v>15.2</v>
      </c>
      <c r="H102" s="18">
        <f>TRUNC(TRUNC(G102 * K5, 2) + G102, 2)</f>
        <v>19.29</v>
      </c>
      <c r="I102" s="28">
        <f t="shared" si="3"/>
        <v>15.91</v>
      </c>
      <c r="J102" s="13">
        <f t="shared" si="4"/>
        <v>190.92</v>
      </c>
      <c r="K102" s="19">
        <f>J102 / K4</f>
        <v>1.0208970547344552E-3</v>
      </c>
    </row>
    <row r="103" spans="1:11" ht="39" customHeight="1" x14ac:dyDescent="0.2">
      <c r="A103" s="15" t="s">
        <v>331</v>
      </c>
      <c r="B103" s="15" t="s">
        <v>332</v>
      </c>
      <c r="C103" s="15" t="s">
        <v>236</v>
      </c>
      <c r="D103" s="15" t="s">
        <v>333</v>
      </c>
      <c r="E103" s="16" t="s">
        <v>83</v>
      </c>
      <c r="F103" s="17">
        <v>2</v>
      </c>
      <c r="G103" s="18">
        <v>19.91</v>
      </c>
      <c r="H103" s="18">
        <f>TRUNC(TRUNC(G103 * K5, 2) + G103, 2)</f>
        <v>25.27</v>
      </c>
      <c r="I103" s="28">
        <f t="shared" si="3"/>
        <v>20.84</v>
      </c>
      <c r="J103" s="13">
        <f t="shared" si="4"/>
        <v>41.68</v>
      </c>
      <c r="K103" s="19">
        <f>J103 / K4</f>
        <v>2.2287339849849205E-4</v>
      </c>
    </row>
    <row r="104" spans="1:11" ht="24" customHeight="1" x14ac:dyDescent="0.2">
      <c r="A104" s="15" t="s">
        <v>334</v>
      </c>
      <c r="B104" s="15" t="s">
        <v>335</v>
      </c>
      <c r="C104" s="15" t="s">
        <v>100</v>
      </c>
      <c r="D104" s="15" t="s">
        <v>336</v>
      </c>
      <c r="E104" s="16" t="s">
        <v>102</v>
      </c>
      <c r="F104" s="17">
        <v>6</v>
      </c>
      <c r="G104" s="18">
        <v>5</v>
      </c>
      <c r="H104" s="18">
        <f>TRUNC(TRUNC(G104 * K5, 2) + G104, 2)</f>
        <v>6.34</v>
      </c>
      <c r="I104" s="28">
        <f t="shared" si="3"/>
        <v>5.23</v>
      </c>
      <c r="J104" s="13">
        <f t="shared" si="4"/>
        <v>31.38</v>
      </c>
      <c r="K104" s="19">
        <f>J104 / K4</f>
        <v>1.6779671892712763E-4</v>
      </c>
    </row>
    <row r="105" spans="1:11" ht="26.1" customHeight="1" x14ac:dyDescent="0.2">
      <c r="A105" s="15" t="s">
        <v>337</v>
      </c>
      <c r="B105" s="15" t="s">
        <v>226</v>
      </c>
      <c r="C105" s="15" t="s">
        <v>26</v>
      </c>
      <c r="D105" s="15" t="s">
        <v>227</v>
      </c>
      <c r="E105" s="16" t="s">
        <v>83</v>
      </c>
      <c r="F105" s="17">
        <v>1</v>
      </c>
      <c r="G105" s="18">
        <v>59.04</v>
      </c>
      <c r="H105" s="18">
        <f>TRUNC(TRUNC(G105 * K5, 2) + G105, 2)</f>
        <v>74.930000000000007</v>
      </c>
      <c r="I105" s="28">
        <f t="shared" si="3"/>
        <v>61.81</v>
      </c>
      <c r="J105" s="13">
        <f t="shared" si="4"/>
        <v>61.81</v>
      </c>
      <c r="K105" s="19">
        <f>J105 / K4</f>
        <v>3.3051354993262461E-4</v>
      </c>
    </row>
    <row r="106" spans="1:11" ht="24" customHeight="1" x14ac:dyDescent="0.2">
      <c r="A106" s="15" t="s">
        <v>338</v>
      </c>
      <c r="B106" s="15" t="s">
        <v>339</v>
      </c>
      <c r="C106" s="15" t="s">
        <v>90</v>
      </c>
      <c r="D106" s="15" t="s">
        <v>340</v>
      </c>
      <c r="E106" s="16" t="s">
        <v>83</v>
      </c>
      <c r="F106" s="17">
        <v>2</v>
      </c>
      <c r="G106" s="18">
        <v>69.45</v>
      </c>
      <c r="H106" s="18">
        <f>TRUNC(TRUNC(G106 * K5, 2) + G106, 2)</f>
        <v>88.15</v>
      </c>
      <c r="I106" s="28">
        <f t="shared" si="3"/>
        <v>72.72</v>
      </c>
      <c r="J106" s="13">
        <f t="shared" si="4"/>
        <v>145.44</v>
      </c>
      <c r="K106" s="19">
        <f>J106 / K4</f>
        <v>7.7770410454944055E-4</v>
      </c>
    </row>
    <row r="107" spans="1:11" ht="24" customHeight="1" x14ac:dyDescent="0.2">
      <c r="A107" s="15" t="s">
        <v>341</v>
      </c>
      <c r="B107" s="15" t="s">
        <v>342</v>
      </c>
      <c r="C107" s="15" t="s">
        <v>90</v>
      </c>
      <c r="D107" s="15" t="s">
        <v>343</v>
      </c>
      <c r="E107" s="16" t="s">
        <v>83</v>
      </c>
      <c r="F107" s="17">
        <v>2</v>
      </c>
      <c r="G107" s="18">
        <v>8.19</v>
      </c>
      <c r="H107" s="18">
        <f>TRUNC(TRUNC(G107 * K5, 2) + G107, 2)</f>
        <v>10.39</v>
      </c>
      <c r="I107" s="28">
        <f t="shared" si="3"/>
        <v>8.57</v>
      </c>
      <c r="J107" s="13">
        <f t="shared" si="4"/>
        <v>17.14</v>
      </c>
      <c r="K107" s="19">
        <f>J107 / K4</f>
        <v>9.1651872607105409E-5</v>
      </c>
    </row>
    <row r="108" spans="1:11" ht="26.1" customHeight="1" x14ac:dyDescent="0.2">
      <c r="A108" s="15" t="s">
        <v>344</v>
      </c>
      <c r="B108" s="15" t="s">
        <v>345</v>
      </c>
      <c r="C108" s="15" t="s">
        <v>154</v>
      </c>
      <c r="D108" s="15" t="s">
        <v>346</v>
      </c>
      <c r="E108" s="16" t="s">
        <v>102</v>
      </c>
      <c r="F108" s="17">
        <v>3</v>
      </c>
      <c r="G108" s="18">
        <v>330</v>
      </c>
      <c r="H108" s="18">
        <f>TRUNC(TRUNC(G108 * K5, 2) + G108, 2)</f>
        <v>418.86</v>
      </c>
      <c r="I108" s="28">
        <f t="shared" si="3"/>
        <v>345.55</v>
      </c>
      <c r="J108" s="13">
        <f t="shared" si="4"/>
        <v>1036.6500000000001</v>
      </c>
      <c r="K108" s="19">
        <f>J108 / K4</f>
        <v>5.543227172587855E-3</v>
      </c>
    </row>
    <row r="109" spans="1:11" ht="39" customHeight="1" x14ac:dyDescent="0.2">
      <c r="A109" s="15" t="s">
        <v>347</v>
      </c>
      <c r="B109" s="15" t="s">
        <v>348</v>
      </c>
      <c r="C109" s="15" t="s">
        <v>349</v>
      </c>
      <c r="D109" s="15" t="s">
        <v>350</v>
      </c>
      <c r="E109" s="16" t="s">
        <v>177</v>
      </c>
      <c r="F109" s="17">
        <v>155</v>
      </c>
      <c r="G109" s="18">
        <v>10.95</v>
      </c>
      <c r="H109" s="18">
        <f>TRUNC(TRUNC(G109 * K5, 2) + G109, 2)</f>
        <v>13.89</v>
      </c>
      <c r="I109" s="28">
        <f t="shared" si="3"/>
        <v>11.45</v>
      </c>
      <c r="J109" s="13">
        <f t="shared" si="4"/>
        <v>1774.75</v>
      </c>
      <c r="K109" s="19">
        <f>J109 / K4</f>
        <v>9.4900327251727142E-3</v>
      </c>
    </row>
    <row r="110" spans="1:11" ht="24" customHeight="1" x14ac:dyDescent="0.2">
      <c r="A110" s="15" t="s">
        <v>351</v>
      </c>
      <c r="B110" s="15" t="s">
        <v>352</v>
      </c>
      <c r="C110" s="15" t="s">
        <v>349</v>
      </c>
      <c r="D110" s="15" t="s">
        <v>353</v>
      </c>
      <c r="E110" s="16" t="s">
        <v>177</v>
      </c>
      <c r="F110" s="17">
        <v>170</v>
      </c>
      <c r="G110" s="18">
        <v>26.28</v>
      </c>
      <c r="H110" s="18">
        <f>TRUNC(TRUNC(G110 * K5, 2) + G110, 2)</f>
        <v>33.35</v>
      </c>
      <c r="I110" s="28">
        <f t="shared" si="3"/>
        <v>27.51</v>
      </c>
      <c r="J110" s="13">
        <f t="shared" si="4"/>
        <v>4676.7</v>
      </c>
      <c r="K110" s="19">
        <f>J110 / K4</f>
        <v>2.5007486150621344E-2</v>
      </c>
    </row>
    <row r="111" spans="1:11" ht="24" customHeight="1" x14ac:dyDescent="0.2">
      <c r="A111" s="5" t="s">
        <v>354</v>
      </c>
      <c r="B111" s="5" t="s">
        <v>21</v>
      </c>
      <c r="C111" s="5"/>
      <c r="D111" s="5" t="s">
        <v>355</v>
      </c>
      <c r="E111" s="6"/>
      <c r="F111" s="7"/>
      <c r="G111" s="7"/>
      <c r="H111" s="8"/>
      <c r="I111" s="29"/>
      <c r="J111" s="8">
        <f>SUM(J112:J116)</f>
        <v>17578.78</v>
      </c>
      <c r="K111" s="9">
        <f>J111 / K4</f>
        <v>9.3998139156845531E-2</v>
      </c>
    </row>
    <row r="112" spans="1:11" ht="24" customHeight="1" x14ac:dyDescent="0.2">
      <c r="A112" s="15" t="s">
        <v>356</v>
      </c>
      <c r="B112" s="15" t="s">
        <v>357</v>
      </c>
      <c r="C112" s="15" t="s">
        <v>100</v>
      </c>
      <c r="D112" s="15" t="s">
        <v>358</v>
      </c>
      <c r="E112" s="16" t="s">
        <v>359</v>
      </c>
      <c r="F112" s="17">
        <v>416</v>
      </c>
      <c r="G112" s="18">
        <v>13.18</v>
      </c>
      <c r="H112" s="18">
        <f>TRUNC(TRUNC(G112 * K5, 2) + G112, 2)</f>
        <v>16.72</v>
      </c>
      <c r="I112" s="28">
        <f t="shared" si="3"/>
        <v>13.79</v>
      </c>
      <c r="J112" s="13">
        <f>TRUNC(F112 * I112,2)</f>
        <v>5736.64</v>
      </c>
      <c r="K112" s="19">
        <f>J112 / K4</f>
        <v>3.0675250786045813E-2</v>
      </c>
    </row>
    <row r="113" spans="1:11" ht="24" customHeight="1" x14ac:dyDescent="0.2">
      <c r="A113" s="15" t="s">
        <v>360</v>
      </c>
      <c r="B113" s="15" t="s">
        <v>361</v>
      </c>
      <c r="C113" s="15" t="s">
        <v>100</v>
      </c>
      <c r="D113" s="15" t="s">
        <v>362</v>
      </c>
      <c r="E113" s="16" t="s">
        <v>359</v>
      </c>
      <c r="F113" s="17">
        <v>416</v>
      </c>
      <c r="G113" s="18">
        <v>10.56</v>
      </c>
      <c r="H113" s="18">
        <f>TRUNC(TRUNC(G113 * K5, 2) + G113, 2)</f>
        <v>13.4</v>
      </c>
      <c r="I113" s="28">
        <f t="shared" si="3"/>
        <v>11.05</v>
      </c>
      <c r="J113" s="13">
        <f t="shared" si="4"/>
        <v>4596.8</v>
      </c>
      <c r="K113" s="19">
        <f>J113 / K4</f>
        <v>2.4580240840159986E-2</v>
      </c>
    </row>
    <row r="114" spans="1:11" ht="26.1" customHeight="1" x14ac:dyDescent="0.2">
      <c r="A114" s="15" t="s">
        <v>363</v>
      </c>
      <c r="B114" s="15" t="s">
        <v>364</v>
      </c>
      <c r="C114" s="15" t="s">
        <v>26</v>
      </c>
      <c r="D114" s="15" t="s">
        <v>365</v>
      </c>
      <c r="E114" s="16" t="s">
        <v>366</v>
      </c>
      <c r="F114" s="17">
        <v>15</v>
      </c>
      <c r="G114" s="18">
        <v>284.85000000000002</v>
      </c>
      <c r="H114" s="18">
        <f>TRUNC(TRUNC(G114 * K5, 2) + G114, 2)</f>
        <v>361.56</v>
      </c>
      <c r="I114" s="28">
        <f t="shared" si="3"/>
        <v>298.27999999999997</v>
      </c>
      <c r="J114" s="13">
        <f t="shared" si="4"/>
        <v>4474.2</v>
      </c>
      <c r="K114" s="19">
        <f>J114 / K4</f>
        <v>2.3924667935747435E-2</v>
      </c>
    </row>
    <row r="115" spans="1:11" ht="26.1" customHeight="1" x14ac:dyDescent="0.2">
      <c r="A115" s="15" t="s">
        <v>367</v>
      </c>
      <c r="B115" s="15" t="s">
        <v>368</v>
      </c>
      <c r="C115" s="15" t="s">
        <v>26</v>
      </c>
      <c r="D115" s="15" t="s">
        <v>369</v>
      </c>
      <c r="E115" s="16" t="s">
        <v>366</v>
      </c>
      <c r="F115" s="17">
        <v>15</v>
      </c>
      <c r="G115" s="18">
        <v>170.49</v>
      </c>
      <c r="H115" s="18">
        <f>TRUNC(TRUNC(G115 * K5, 2) + G115, 2)</f>
        <v>216.4</v>
      </c>
      <c r="I115" s="28">
        <f t="shared" si="3"/>
        <v>178.53</v>
      </c>
      <c r="J115" s="13">
        <f t="shared" si="4"/>
        <v>2677.95</v>
      </c>
      <c r="K115" s="19">
        <f>J115 / K4</f>
        <v>1.431966932603255E-2</v>
      </c>
    </row>
    <row r="116" spans="1:11" ht="24" customHeight="1" x14ac:dyDescent="0.2">
      <c r="A116" s="15" t="s">
        <v>370</v>
      </c>
      <c r="B116" s="15" t="s">
        <v>371</v>
      </c>
      <c r="C116" s="15" t="s">
        <v>100</v>
      </c>
      <c r="D116" s="15" t="s">
        <v>372</v>
      </c>
      <c r="E116" s="16" t="s">
        <v>373</v>
      </c>
      <c r="F116" s="17">
        <v>1</v>
      </c>
      <c r="G116" s="18">
        <v>89</v>
      </c>
      <c r="H116" s="18">
        <f>TRUNC(TRUNC(G116 * K5, 2) + G116, 2)</f>
        <v>112.96</v>
      </c>
      <c r="I116" s="28">
        <f t="shared" si="3"/>
        <v>93.19</v>
      </c>
      <c r="J116" s="13">
        <f t="shared" si="4"/>
        <v>93.19</v>
      </c>
      <c r="K116" s="19">
        <f>J116 / K4</f>
        <v>4.9831026885975224E-4</v>
      </c>
    </row>
    <row r="117" spans="1:1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spans="1:11" x14ac:dyDescent="0.2">
      <c r="A118" s="31"/>
      <c r="B118" s="31"/>
      <c r="C118" s="31"/>
      <c r="D118" s="25"/>
      <c r="E118" s="22"/>
      <c r="F118" s="32" t="s">
        <v>374</v>
      </c>
      <c r="G118" s="31"/>
      <c r="H118" s="33">
        <f>J8+J23+J111</f>
        <v>187012.00000000003</v>
      </c>
      <c r="I118" s="33"/>
      <c r="J118" s="31"/>
      <c r="K118" s="31"/>
    </row>
    <row r="119" spans="1:11" ht="60" customHeight="1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1:11" ht="69.95" customHeight="1" x14ac:dyDescent="0.2">
      <c r="A120" s="34" t="s">
        <v>378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</sheetData>
  <mergeCells count="14">
    <mergeCell ref="E1:F1"/>
    <mergeCell ref="G1:H1"/>
    <mergeCell ref="J1:K1"/>
    <mergeCell ref="E2:F2"/>
    <mergeCell ref="G2:H2"/>
    <mergeCell ref="J2:K2"/>
    <mergeCell ref="A118:C118"/>
    <mergeCell ref="F118:G118"/>
    <mergeCell ref="H118:K118"/>
    <mergeCell ref="A120:K120"/>
    <mergeCell ref="A3:K3"/>
    <mergeCell ref="H4:I4"/>
    <mergeCell ref="H5:I5"/>
    <mergeCell ref="H6:I6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Allison Souto</cp:lastModifiedBy>
  <cp:revision>0</cp:revision>
  <dcterms:created xsi:type="dcterms:W3CDTF">2026-08-21T12:25:50Z</dcterms:created>
  <dcterms:modified xsi:type="dcterms:W3CDTF">2026-08-21T18:17:18Z</dcterms:modified>
</cp:coreProperties>
</file>