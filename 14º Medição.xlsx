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72.16.1.252\Obras\MEDIÇÕES\FISCAL - LUCAS\1 - EM ANDAMENTO\131 - 2024 - SOLO CONSTRUÇÕES E INCORPORAÇÕES LTDA\2 - EQUIPE PREVENTIVA\02 - Medições\14ª medição (MAIO-26)\"/>
    </mc:Choice>
  </mc:AlternateContent>
  <xr:revisionPtr revIDLastSave="0" documentId="13_ncr:1_{6D907950-1AC8-44C9-88CE-01EB31E26BF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Orçamento Sintétic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H166" i="1"/>
  <c r="J161" i="1"/>
  <c r="J162" i="1"/>
  <c r="J163" i="1"/>
  <c r="J164" i="1"/>
  <c r="J160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24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9" i="1"/>
  <c r="H164" i="1"/>
  <c r="K164" i="1" s="1"/>
  <c r="H163" i="1"/>
  <c r="H162" i="1"/>
  <c r="K162" i="1" s="1"/>
  <c r="H161" i="1"/>
  <c r="K161" i="1" s="1"/>
  <c r="H160" i="1"/>
  <c r="H158" i="1"/>
  <c r="H157" i="1"/>
  <c r="K157" i="1" s="1"/>
  <c r="H156" i="1"/>
  <c r="K156" i="1" s="1"/>
  <c r="H155" i="1"/>
  <c r="I155" i="1" s="1"/>
  <c r="H154" i="1"/>
  <c r="K154" i="1" s="1"/>
  <c r="H153" i="1"/>
  <c r="K153" i="1" s="1"/>
  <c r="H152" i="1"/>
  <c r="H151" i="1"/>
  <c r="K151" i="1" s="1"/>
  <c r="H150" i="1"/>
  <c r="K150" i="1" s="1"/>
  <c r="H149" i="1"/>
  <c r="H148" i="1"/>
  <c r="K148" i="1" s="1"/>
  <c r="H147" i="1"/>
  <c r="K147" i="1" s="1"/>
  <c r="H146" i="1"/>
  <c r="H145" i="1"/>
  <c r="K145" i="1" s="1"/>
  <c r="H144" i="1"/>
  <c r="K144" i="1" s="1"/>
  <c r="H143" i="1"/>
  <c r="H142" i="1"/>
  <c r="K142" i="1" s="1"/>
  <c r="H141" i="1"/>
  <c r="K141" i="1" s="1"/>
  <c r="H140" i="1"/>
  <c r="H139" i="1"/>
  <c r="K139" i="1" s="1"/>
  <c r="H138" i="1"/>
  <c r="K138" i="1" s="1"/>
  <c r="H137" i="1"/>
  <c r="I137" i="1" s="1"/>
  <c r="H136" i="1"/>
  <c r="K136" i="1" s="1"/>
  <c r="H135" i="1"/>
  <c r="K135" i="1" s="1"/>
  <c r="H134" i="1"/>
  <c r="H133" i="1"/>
  <c r="K133" i="1" s="1"/>
  <c r="H132" i="1"/>
  <c r="K132" i="1" s="1"/>
  <c r="H131" i="1"/>
  <c r="H130" i="1"/>
  <c r="K130" i="1" s="1"/>
  <c r="H129" i="1"/>
  <c r="K129" i="1" s="1"/>
  <c r="H128" i="1"/>
  <c r="H127" i="1"/>
  <c r="K127" i="1" s="1"/>
  <c r="H126" i="1"/>
  <c r="K126" i="1" s="1"/>
  <c r="H125" i="1"/>
  <c r="H124" i="1"/>
  <c r="K124" i="1" s="1"/>
  <c r="H123" i="1"/>
  <c r="K123" i="1" s="1"/>
  <c r="H122" i="1"/>
  <c r="H121" i="1"/>
  <c r="K121" i="1" s="1"/>
  <c r="H120" i="1"/>
  <c r="K120" i="1" s="1"/>
  <c r="H119" i="1"/>
  <c r="H118" i="1"/>
  <c r="K118" i="1" s="1"/>
  <c r="H117" i="1"/>
  <c r="K117" i="1" s="1"/>
  <c r="H116" i="1"/>
  <c r="H115" i="1"/>
  <c r="K115" i="1" s="1"/>
  <c r="H114" i="1"/>
  <c r="K114" i="1" s="1"/>
  <c r="H113" i="1"/>
  <c r="I113" i="1" s="1"/>
  <c r="H112" i="1"/>
  <c r="K112" i="1" s="1"/>
  <c r="H111" i="1"/>
  <c r="K111" i="1" s="1"/>
  <c r="H110" i="1"/>
  <c r="H109" i="1"/>
  <c r="K109" i="1" s="1"/>
  <c r="H108" i="1"/>
  <c r="K108" i="1" s="1"/>
  <c r="H107" i="1"/>
  <c r="H106" i="1"/>
  <c r="K106" i="1" s="1"/>
  <c r="H105" i="1"/>
  <c r="K105" i="1" s="1"/>
  <c r="H104" i="1"/>
  <c r="H103" i="1"/>
  <c r="K103" i="1" s="1"/>
  <c r="H102" i="1"/>
  <c r="K102" i="1" s="1"/>
  <c r="H101" i="1"/>
  <c r="H100" i="1"/>
  <c r="K100" i="1" s="1"/>
  <c r="H99" i="1"/>
  <c r="K99" i="1" s="1"/>
  <c r="H98" i="1"/>
  <c r="H97" i="1"/>
  <c r="K97" i="1" s="1"/>
  <c r="H96" i="1"/>
  <c r="K96" i="1" s="1"/>
  <c r="H95" i="1"/>
  <c r="H94" i="1"/>
  <c r="K94" i="1" s="1"/>
  <c r="H93" i="1"/>
  <c r="K93" i="1" s="1"/>
  <c r="H92" i="1"/>
  <c r="H91" i="1"/>
  <c r="K91" i="1" s="1"/>
  <c r="H90" i="1"/>
  <c r="K90" i="1" s="1"/>
  <c r="H89" i="1"/>
  <c r="H88" i="1"/>
  <c r="K88" i="1" s="1"/>
  <c r="H87" i="1"/>
  <c r="K87" i="1" s="1"/>
  <c r="H86" i="1"/>
  <c r="H85" i="1"/>
  <c r="K85" i="1" s="1"/>
  <c r="H84" i="1"/>
  <c r="K84" i="1" s="1"/>
  <c r="H83" i="1"/>
  <c r="H82" i="1"/>
  <c r="K82" i="1" s="1"/>
  <c r="H81" i="1"/>
  <c r="I81" i="1" s="1"/>
  <c r="H80" i="1"/>
  <c r="H79" i="1"/>
  <c r="K79" i="1" s="1"/>
  <c r="H78" i="1"/>
  <c r="K78" i="1" s="1"/>
  <c r="H77" i="1"/>
  <c r="H76" i="1"/>
  <c r="K76" i="1" s="1"/>
  <c r="H75" i="1"/>
  <c r="K75" i="1" s="1"/>
  <c r="H74" i="1"/>
  <c r="H73" i="1"/>
  <c r="I73" i="1" s="1"/>
  <c r="H72" i="1"/>
  <c r="K72" i="1" s="1"/>
  <c r="H71" i="1"/>
  <c r="H70" i="1"/>
  <c r="K70" i="1" s="1"/>
  <c r="H69" i="1"/>
  <c r="K69" i="1" s="1"/>
  <c r="H68" i="1"/>
  <c r="H67" i="1"/>
  <c r="K67" i="1" s="1"/>
  <c r="H66" i="1"/>
  <c r="K66" i="1" s="1"/>
  <c r="H65" i="1"/>
  <c r="I65" i="1" s="1"/>
  <c r="H64" i="1"/>
  <c r="K64" i="1" s="1"/>
  <c r="H63" i="1"/>
  <c r="K63" i="1" s="1"/>
  <c r="H62" i="1"/>
  <c r="H61" i="1"/>
  <c r="K61" i="1" s="1"/>
  <c r="H60" i="1"/>
  <c r="K60" i="1" s="1"/>
  <c r="H59" i="1"/>
  <c r="H58" i="1"/>
  <c r="K58" i="1" s="1"/>
  <c r="H57" i="1"/>
  <c r="K57" i="1" s="1"/>
  <c r="H56" i="1"/>
  <c r="H55" i="1"/>
  <c r="I55" i="1" s="1"/>
  <c r="H54" i="1"/>
  <c r="K54" i="1" s="1"/>
  <c r="H53" i="1"/>
  <c r="H52" i="1"/>
  <c r="K52" i="1" s="1"/>
  <c r="H51" i="1"/>
  <c r="K51" i="1" s="1"/>
  <c r="H50" i="1"/>
  <c r="H49" i="1"/>
  <c r="K49" i="1" s="1"/>
  <c r="H48" i="1"/>
  <c r="K48" i="1" s="1"/>
  <c r="H47" i="1"/>
  <c r="H46" i="1"/>
  <c r="K46" i="1" s="1"/>
  <c r="H45" i="1"/>
  <c r="K45" i="1" s="1"/>
  <c r="H44" i="1"/>
  <c r="H43" i="1"/>
  <c r="K43" i="1" s="1"/>
  <c r="H42" i="1"/>
  <c r="K42" i="1" s="1"/>
  <c r="H41" i="1"/>
  <c r="H40" i="1"/>
  <c r="K40" i="1" s="1"/>
  <c r="H39" i="1"/>
  <c r="K39" i="1" s="1"/>
  <c r="H38" i="1"/>
  <c r="H37" i="1"/>
  <c r="K37" i="1" s="1"/>
  <c r="H36" i="1"/>
  <c r="K36" i="1" s="1"/>
  <c r="H35" i="1"/>
  <c r="H34" i="1"/>
  <c r="K34" i="1" s="1"/>
  <c r="H33" i="1"/>
  <c r="K33" i="1" s="1"/>
  <c r="H32" i="1"/>
  <c r="K32" i="1" s="1"/>
  <c r="H31" i="1"/>
  <c r="K31" i="1" s="1"/>
  <c r="H30" i="1"/>
  <c r="K30" i="1" s="1"/>
  <c r="H29" i="1"/>
  <c r="H28" i="1"/>
  <c r="K28" i="1" s="1"/>
  <c r="H27" i="1"/>
  <c r="K27" i="1" s="1"/>
  <c r="H26" i="1"/>
  <c r="K26" i="1" s="1"/>
  <c r="H25" i="1"/>
  <c r="K25" i="1" s="1"/>
  <c r="H24" i="1"/>
  <c r="K24" i="1" s="1"/>
  <c r="H22" i="1"/>
  <c r="H21" i="1"/>
  <c r="K21" i="1" s="1"/>
  <c r="H20" i="1"/>
  <c r="H19" i="1"/>
  <c r="K19" i="1" s="1"/>
  <c r="H18" i="1"/>
  <c r="H17" i="1"/>
  <c r="K17" i="1" s="1"/>
  <c r="H16" i="1"/>
  <c r="K16" i="1" s="1"/>
  <c r="H15" i="1"/>
  <c r="K15" i="1" s="1"/>
  <c r="H14" i="1"/>
  <c r="K14" i="1" s="1"/>
  <c r="H13" i="1"/>
  <c r="K13" i="1" s="1"/>
  <c r="H12" i="1"/>
  <c r="H11" i="1"/>
  <c r="K11" i="1" s="1"/>
  <c r="H10" i="1"/>
  <c r="K10" i="1" s="1"/>
  <c r="H9" i="1"/>
  <c r="K38" i="1" l="1"/>
  <c r="K44" i="1"/>
  <c r="K50" i="1"/>
  <c r="K56" i="1"/>
  <c r="K62" i="1"/>
  <c r="K68" i="1"/>
  <c r="K74" i="1"/>
  <c r="K80" i="1"/>
  <c r="K86" i="1"/>
  <c r="K92" i="1"/>
  <c r="K98" i="1"/>
  <c r="K104" i="1"/>
  <c r="K110" i="1"/>
  <c r="K116" i="1"/>
  <c r="K122" i="1"/>
  <c r="K128" i="1"/>
  <c r="K134" i="1"/>
  <c r="K140" i="1"/>
  <c r="K146" i="1"/>
  <c r="K152" i="1"/>
  <c r="K158" i="1"/>
  <c r="K163" i="1"/>
  <c r="K29" i="1"/>
  <c r="K35" i="1"/>
  <c r="K41" i="1"/>
  <c r="K47" i="1"/>
  <c r="K53" i="1"/>
  <c r="K59" i="1"/>
  <c r="K71" i="1"/>
  <c r="K77" i="1"/>
  <c r="K83" i="1"/>
  <c r="K89" i="1"/>
  <c r="K95" i="1"/>
  <c r="K101" i="1"/>
  <c r="K107" i="1"/>
  <c r="K119" i="1"/>
  <c r="K125" i="1"/>
  <c r="K131" i="1"/>
  <c r="K143" i="1"/>
  <c r="K149" i="1"/>
  <c r="K22" i="1"/>
  <c r="K12" i="1"/>
  <c r="K18" i="1"/>
  <c r="K20" i="1"/>
  <c r="K113" i="1"/>
  <c r="I156" i="1"/>
  <c r="I120" i="1"/>
  <c r="I12" i="1"/>
  <c r="I126" i="1"/>
  <c r="I90" i="1"/>
  <c r="I54" i="1"/>
  <c r="I150" i="1"/>
  <c r="I114" i="1"/>
  <c r="I78" i="1"/>
  <c r="I42" i="1"/>
  <c r="I48" i="1"/>
  <c r="I144" i="1"/>
  <c r="I108" i="1"/>
  <c r="I72" i="1"/>
  <c r="I36" i="1"/>
  <c r="I138" i="1"/>
  <c r="I102" i="1"/>
  <c r="I66" i="1"/>
  <c r="I30" i="1"/>
  <c r="I84" i="1"/>
  <c r="K55" i="1"/>
  <c r="J8" i="1"/>
  <c r="J159" i="1"/>
  <c r="K159" i="1" s="1"/>
  <c r="I18" i="1"/>
  <c r="I132" i="1"/>
  <c r="I96" i="1"/>
  <c r="I60" i="1"/>
  <c r="I160" i="1"/>
  <c r="K65" i="1"/>
  <c r="K81" i="1"/>
  <c r="K137" i="1"/>
  <c r="I22" i="1"/>
  <c r="I16" i="1"/>
  <c r="I10" i="1"/>
  <c r="I154" i="1"/>
  <c r="I148" i="1"/>
  <c r="I142" i="1"/>
  <c r="I136" i="1"/>
  <c r="I130" i="1"/>
  <c r="I124" i="1"/>
  <c r="I118" i="1"/>
  <c r="I112" i="1"/>
  <c r="I106" i="1"/>
  <c r="I100" i="1"/>
  <c r="I94" i="1"/>
  <c r="I88" i="1"/>
  <c r="I82" i="1"/>
  <c r="I76" i="1"/>
  <c r="I70" i="1"/>
  <c r="I64" i="1"/>
  <c r="I58" i="1"/>
  <c r="I52" i="1"/>
  <c r="I46" i="1"/>
  <c r="I40" i="1"/>
  <c r="I34" i="1"/>
  <c r="I28" i="1"/>
  <c r="I162" i="1"/>
  <c r="K155" i="1"/>
  <c r="I21" i="1"/>
  <c r="I15" i="1"/>
  <c r="I24" i="1"/>
  <c r="I153" i="1"/>
  <c r="I147" i="1"/>
  <c r="I141" i="1"/>
  <c r="I135" i="1"/>
  <c r="I129" i="1"/>
  <c r="I123" i="1"/>
  <c r="I117" i="1"/>
  <c r="I111" i="1"/>
  <c r="I105" i="1"/>
  <c r="I99" i="1"/>
  <c r="I93" i="1"/>
  <c r="I87" i="1"/>
  <c r="I75" i="1"/>
  <c r="I69" i="1"/>
  <c r="I63" i="1"/>
  <c r="I57" i="1"/>
  <c r="I51" i="1"/>
  <c r="I45" i="1"/>
  <c r="I39" i="1"/>
  <c r="I33" i="1"/>
  <c r="I27" i="1"/>
  <c r="I161" i="1"/>
  <c r="I20" i="1"/>
  <c r="I14" i="1"/>
  <c r="I158" i="1"/>
  <c r="I152" i="1"/>
  <c r="I146" i="1"/>
  <c r="I140" i="1"/>
  <c r="I134" i="1"/>
  <c r="I128" i="1"/>
  <c r="I122" i="1"/>
  <c r="I116" i="1"/>
  <c r="I110" i="1"/>
  <c r="I104" i="1"/>
  <c r="I98" i="1"/>
  <c r="I92" i="1"/>
  <c r="I86" i="1"/>
  <c r="I80" i="1"/>
  <c r="I74" i="1"/>
  <c r="I68" i="1"/>
  <c r="I62" i="1"/>
  <c r="I56" i="1"/>
  <c r="I50" i="1"/>
  <c r="I44" i="1"/>
  <c r="I38" i="1"/>
  <c r="I32" i="1"/>
  <c r="I26" i="1"/>
  <c r="I164" i="1"/>
  <c r="K73" i="1"/>
  <c r="I19" i="1"/>
  <c r="I13" i="1"/>
  <c r="I157" i="1"/>
  <c r="I151" i="1"/>
  <c r="I145" i="1"/>
  <c r="I139" i="1"/>
  <c r="I133" i="1"/>
  <c r="I127" i="1"/>
  <c r="I121" i="1"/>
  <c r="I115" i="1"/>
  <c r="I109" i="1"/>
  <c r="I103" i="1"/>
  <c r="I97" i="1"/>
  <c r="I91" i="1"/>
  <c r="I85" i="1"/>
  <c r="I79" i="1"/>
  <c r="I67" i="1"/>
  <c r="I61" i="1"/>
  <c r="I49" i="1"/>
  <c r="I43" i="1"/>
  <c r="I37" i="1"/>
  <c r="I31" i="1"/>
  <c r="I25" i="1"/>
  <c r="I9" i="1"/>
  <c r="I17" i="1"/>
  <c r="I11" i="1"/>
  <c r="I149" i="1"/>
  <c r="I143" i="1"/>
  <c r="I131" i="1"/>
  <c r="I125" i="1"/>
  <c r="I119" i="1"/>
  <c r="I107" i="1"/>
  <c r="I101" i="1"/>
  <c r="I95" i="1"/>
  <c r="I89" i="1"/>
  <c r="I83" i="1"/>
  <c r="I77" i="1"/>
  <c r="I71" i="1"/>
  <c r="I59" i="1"/>
  <c r="I53" i="1"/>
  <c r="I47" i="1"/>
  <c r="I41" i="1"/>
  <c r="I35" i="1"/>
  <c r="I29" i="1"/>
  <c r="I163" i="1"/>
  <c r="K9" i="1"/>
  <c r="K160" i="1"/>
  <c r="J23" i="1" l="1"/>
  <c r="K23" i="1" s="1"/>
  <c r="K8" i="1"/>
  <c r="K1" i="1" l="1"/>
</calcChain>
</file>

<file path=xl/sharedStrings.xml><?xml version="1.0" encoding="utf-8"?>
<sst xmlns="http://schemas.openxmlformats.org/spreadsheetml/2006/main" count="804" uniqueCount="490">
  <si>
    <t>Obra</t>
  </si>
  <si>
    <t>Bancos</t>
  </si>
  <si>
    <t>B.D.I.</t>
  </si>
  <si>
    <t>Encargos Sociais</t>
  </si>
  <si>
    <t xml:space="preserve">MANUTENÇÃO PREVENTIVA - MAIO </t>
  </si>
  <si>
    <t xml:space="preserve">SINAPI - 04/2026 - Mato Grosso do Sul
SBC - 04/2026 - Mato Grosso do Sul
SICRO3 - 04/2026 - Mato Grosso do Sul
ORSE - 04/2026 - Sergipe
SEDOP - 03/2026 - Pará
SEINFRA - 028 - Ceará
SETOP - 04/2026 - Minas Gerais
IOPES - 04/2026 - Espírito Santo
SIURB - 01/2026 - São Paulo
SIURB INFRA - 01/2026 - São Paulo
SUDECAP - 04/2026 - Minas Gerais
CPOS/CDHU - 04/2026 - São Paulo
FDE - 04/2026 - São Paulo
AGESUL - 01/2026 - Mato Grosso do Sul
AGETOP CIVIL - 04/2026 - Goiás
AGETOP RODOVIARIA - 04/2026 - Goiás
CAEMA - 12/2019 - Maranhão
EMBASA - 01/2026 - sem_encargos
CAERN - 01/2026 - Rio Grande do Norte
</t>
  </si>
  <si>
    <t>26,93%</t>
  </si>
  <si>
    <t>Desonerado: embutido nos preços unitário dos insumos de mão de obra, de acordo com as bases.</t>
  </si>
  <si>
    <t>Orçamento Sintético com Fórmulas</t>
  </si>
  <si>
    <t>Valor Final do Orçamento</t>
  </si>
  <si>
    <t>BDI</t>
  </si>
  <si>
    <t>Item</t>
  </si>
  <si>
    <t>Código</t>
  </si>
  <si>
    <t>Banco</t>
  </si>
  <si>
    <t>Descrição</t>
  </si>
  <si>
    <t>Und</t>
  </si>
  <si>
    <t>Quant.</t>
  </si>
  <si>
    <t>Valor Unit</t>
  </si>
  <si>
    <t>Valor Unit com BDI</t>
  </si>
  <si>
    <t>Total</t>
  </si>
  <si>
    <t>Peso (%)</t>
  </si>
  <si>
    <t xml:space="preserve"> 1 </t>
  </si>
  <si>
    <t xml:space="preserve">  </t>
  </si>
  <si>
    <t>TÉCNICO-PROFISSIONAIS</t>
  </si>
  <si>
    <t xml:space="preserve"> 1.1 </t>
  </si>
  <si>
    <t xml:space="preserve"> 90772 </t>
  </si>
  <si>
    <t>SINAPI</t>
  </si>
  <si>
    <t>AUXILIAR DE ESCRITORIO COM ENCARGOS COMPLEMENTARES</t>
  </si>
  <si>
    <t>H</t>
  </si>
  <si>
    <t xml:space="preserve"> 1.2 </t>
  </si>
  <si>
    <t xml:space="preserve"> 90766 </t>
  </si>
  <si>
    <t>ALMOXARIFE COM ENCARGOS COMPLEMENTARES</t>
  </si>
  <si>
    <t xml:space="preserve"> 1.3 </t>
  </si>
  <si>
    <t xml:space="preserve"> 88284 </t>
  </si>
  <si>
    <t>MOTORISTA DE VEÍCULO LEVE COM ENCARGOS COMPLEMENTARES</t>
  </si>
  <si>
    <t xml:space="preserve"> 1.4 </t>
  </si>
  <si>
    <t xml:space="preserve"> 100301 </t>
  </si>
  <si>
    <t>AJUDANTE DE PINTOR COM ENCARGOS COMPLEMENTARES</t>
  </si>
  <si>
    <t xml:space="preserve"> 1.5 </t>
  </si>
  <si>
    <t xml:space="preserve"> 88310 </t>
  </si>
  <si>
    <t>PINTOR COM ENCARGOS COMPLEMENTARES</t>
  </si>
  <si>
    <t xml:space="preserve"> 1.6 </t>
  </si>
  <si>
    <t xml:space="preserve"> 88247 </t>
  </si>
  <si>
    <t>AUXILIAR DE ELETRICISTA COM ENCARGOS COMPLEMENTARES</t>
  </si>
  <si>
    <t xml:space="preserve"> 1.7 </t>
  </si>
  <si>
    <t xml:space="preserve"> 88264 </t>
  </si>
  <si>
    <t>ELETRICISTA COM ENCARGOS COMPLEMENTARES</t>
  </si>
  <si>
    <t xml:space="preserve"> 1.8 </t>
  </si>
  <si>
    <t xml:space="preserve"> 88248 </t>
  </si>
  <si>
    <t>AUXILIAR DE ENCANADOR OU BOMBEIRO HIDRÁULICO COM ENCARGOS COMPLEMENTARES</t>
  </si>
  <si>
    <t xml:space="preserve"> 1.9 </t>
  </si>
  <si>
    <t xml:space="preserve"> 88267 </t>
  </si>
  <si>
    <t>ENCANADOR OU BOMBEIRO HIDRÁULICO COM ENCARGOS COMPLEMENTARES</t>
  </si>
  <si>
    <t xml:space="preserve"> 1.10 </t>
  </si>
  <si>
    <t xml:space="preserve"> 90780 </t>
  </si>
  <si>
    <t>MESTRE DE OBRAS COM ENCARGOS COMPLEMENTARES</t>
  </si>
  <si>
    <t xml:space="preserve"> 1.11 </t>
  </si>
  <si>
    <t xml:space="preserve"> 88309 </t>
  </si>
  <si>
    <t>PEDREIRO COM ENCARGOS COMPLEMENTARES</t>
  </si>
  <si>
    <t xml:space="preserve"> 1.12 </t>
  </si>
  <si>
    <t xml:space="preserve"> 88255 </t>
  </si>
  <si>
    <t>AUXILIAR TÉCNICO DE ENGENHARIA COM ENCARGOS COMPLEMENTARES</t>
  </si>
  <si>
    <t xml:space="preserve"> 1.13 </t>
  </si>
  <si>
    <t xml:space="preserve"> 88316 </t>
  </si>
  <si>
    <t>SERVENTE COM ENCARGOS COMPLEMENTARES</t>
  </si>
  <si>
    <t xml:space="preserve"> 1.14 </t>
  </si>
  <si>
    <t xml:space="preserve"> 90779 </t>
  </si>
  <si>
    <t>ENGENHEIRO CIVIL DE OBRA SENIOR COM ENCARGOS COMPLEMENTARES</t>
  </si>
  <si>
    <t xml:space="preserve"> 2 </t>
  </si>
  <si>
    <t>INSUMOS</t>
  </si>
  <si>
    <t xml:space="preserve"> 2.1 </t>
  </si>
  <si>
    <t xml:space="preserve"> 00001379 </t>
  </si>
  <si>
    <t>CIMENTO PORTLAND COMPOSTO CP II-32</t>
  </si>
  <si>
    <t>KG</t>
  </si>
  <si>
    <t xml:space="preserve"> 2.2 </t>
  </si>
  <si>
    <t xml:space="preserve"> 000300 </t>
  </si>
  <si>
    <t>SBC</t>
  </si>
  <si>
    <t>CAL HIDRATADA CH-III SACO 20kg (QUILOGRAMA)</t>
  </si>
  <si>
    <t xml:space="preserve"> 2.3 </t>
  </si>
  <si>
    <t xml:space="preserve"> 000779 </t>
  </si>
  <si>
    <t>ACO CA 50 6,3mm (1/4") (0,248 kg/m)</t>
  </si>
  <si>
    <t xml:space="preserve"> 2.4 </t>
  </si>
  <si>
    <t xml:space="preserve"> 051067 </t>
  </si>
  <si>
    <t>TUBO PVC AGUA SOLDAVEL 25mm</t>
  </si>
  <si>
    <t>M</t>
  </si>
  <si>
    <t xml:space="preserve"> 2.5 </t>
  </si>
  <si>
    <t xml:space="preserve"> 00007271 </t>
  </si>
  <si>
    <t>BLOCO CERAMICO / TIJOLO VAZADO PARA ALVENARIA DE VEDACAO, 8 FUROS NA HORIZONTAL DE 9 X 19 X 19 CM (L X A X C)</t>
  </si>
  <si>
    <t>UN</t>
  </si>
  <si>
    <t xml:space="preserve"> 2.6 </t>
  </si>
  <si>
    <t xml:space="preserve"> 00036791/SINAPI </t>
  </si>
  <si>
    <t>ORSE</t>
  </si>
  <si>
    <t>Torneira metalica cromada de mesa para lavatorio, bica alta, com arejador</t>
  </si>
  <si>
    <t>un</t>
  </si>
  <si>
    <t xml:space="preserve"> 2.7 </t>
  </si>
  <si>
    <t xml:space="preserve"> 00002711 </t>
  </si>
  <si>
    <t>CARRINHO DE MAO, EM ACO, COM CAPACIDADE DE *45 A 65* L / *100* KG, PNEU COM CAMARA</t>
  </si>
  <si>
    <t xml:space="preserve"> 2.8 </t>
  </si>
  <si>
    <t xml:space="preserve"> 00038477 </t>
  </si>
  <si>
    <t>ESCADA EXTENSIVEL EM ALUMINIO, COM SAPATAS DE BORRACHA, ALTURA FECHADA 3,60 M, ALTURA ESTENDIDA DE 6,0 A 6,30 M, LARGURA MINIMA DE 35 CM, CACIDADE *120* KG</t>
  </si>
  <si>
    <t xml:space="preserve"> 2.9 </t>
  </si>
  <si>
    <t xml:space="preserve"> 00045248 </t>
  </si>
  <si>
    <t>CHAVE AJUSTAVEL (INGLESA) 10"</t>
  </si>
  <si>
    <t xml:space="preserve"> 2.10 </t>
  </si>
  <si>
    <t xml:space="preserve"> 00045196 </t>
  </si>
  <si>
    <t>JOGO DE CHAVES DE FENDA E PHILLIPS ISOLADAS, 1000 V - *6* PECAS</t>
  </si>
  <si>
    <t xml:space="preserve"> 2.11 </t>
  </si>
  <si>
    <t xml:space="preserve"> 036991 </t>
  </si>
  <si>
    <t>FERRAMENTA - PA DE BICO 4 COM CABO E MANOPLA TARZA</t>
  </si>
  <si>
    <t xml:space="preserve"> 2.12 </t>
  </si>
  <si>
    <t xml:space="preserve"> 000013 </t>
  </si>
  <si>
    <t>FERRAMENTA - ENXADAO COM BRACO 2.1/2" TRAMONTINA</t>
  </si>
  <si>
    <t xml:space="preserve"> 2.13 </t>
  </si>
  <si>
    <t xml:space="preserve"> 12930 </t>
  </si>
  <si>
    <t>Areia fina adquirida em depósito, frete incluso (Areia Fina Comercial)</t>
  </si>
  <si>
    <t>m³</t>
  </si>
  <si>
    <t xml:space="preserve"> 2.14 </t>
  </si>
  <si>
    <t xml:space="preserve"> 201 </t>
  </si>
  <si>
    <t>Areia grossa adquirida em depósito, frete incluso (Areia Grossa Comercial)</t>
  </si>
  <si>
    <t xml:space="preserve"> 2.15 </t>
  </si>
  <si>
    <t xml:space="preserve"> 13787 </t>
  </si>
  <si>
    <t>Refletor modular LED 200w DC com DPS 4x50w 90° 5000k 165lm/W Aluminio Autovolt Branca Ref.: RFMLED-DCDPS-90-200-50-3C-ME, da G-light ou similar</t>
  </si>
  <si>
    <t xml:space="preserve"> 2.16 </t>
  </si>
  <si>
    <t xml:space="preserve"> 080525 </t>
  </si>
  <si>
    <t>LUMINARIA REFLETOR LED 9W MONOCROMATICO BRANCO ATE 18M2 SODRAMAR</t>
  </si>
  <si>
    <t xml:space="preserve"> 2.17 </t>
  </si>
  <si>
    <t xml:space="preserve"> 00007603 </t>
  </si>
  <si>
    <t>TORNEIRA DE METAL AMARELO, PARA TANQUE / JARDIM, DE PAREDE, SEM BICO, CANO CURTO, PADRAO POPULAR / USO GERAL, 1/2" OU 3/4"</t>
  </si>
  <si>
    <t xml:space="preserve"> 2.18 </t>
  </si>
  <si>
    <t xml:space="preserve"> 00011746 </t>
  </si>
  <si>
    <t>VALVULA DE ESFERA BRUTA EM BRONZE, BITOLA 1"</t>
  </si>
  <si>
    <t xml:space="preserve"> 2.19 </t>
  </si>
  <si>
    <t xml:space="preserve"> 00044945 </t>
  </si>
  <si>
    <t>SIFAO / TUBO SINFONADO EXTENSIVEL/SANFONADO, UNIVERSAL/ SIMPLES, ENTRE *50 A 70* CM, DE PLASTICO BRANCO</t>
  </si>
  <si>
    <t xml:space="preserve"> 2.20 </t>
  </si>
  <si>
    <t xml:space="preserve"> 00011822 </t>
  </si>
  <si>
    <t>TORNEIRA PLASTICA DE MESA, BICA MOVEL, PARA COZINHA 1/2"</t>
  </si>
  <si>
    <t xml:space="preserve"> 2.21 </t>
  </si>
  <si>
    <t xml:space="preserve"> 00007348 </t>
  </si>
  <si>
    <t>TINTA ACRILICA PREMIUM PARA PISO</t>
  </si>
  <si>
    <t>L</t>
  </si>
  <si>
    <t xml:space="preserve"> 2.22 </t>
  </si>
  <si>
    <t xml:space="preserve"> H00390 </t>
  </si>
  <si>
    <t>SEDOP</t>
  </si>
  <si>
    <t>Sifão Plástico flexível</t>
  </si>
  <si>
    <t xml:space="preserve"> 2.23 </t>
  </si>
  <si>
    <t xml:space="preserve"> 00045200 </t>
  </si>
  <si>
    <t>TRENA COM FITA DE ACO DE 10 M X 25 MM (COMPRIMENTO X LARGURA)</t>
  </si>
  <si>
    <t xml:space="preserve"> 2.24 </t>
  </si>
  <si>
    <t xml:space="preserve"> 00013887/SINAPI </t>
  </si>
  <si>
    <t>Disco de corte diamantado segmentado para concreto/asfalto, diametro de *350*mm, furo de 25,40 mm</t>
  </si>
  <si>
    <t xml:space="preserve"> 2.25 </t>
  </si>
  <si>
    <t xml:space="preserve"> 026548 </t>
  </si>
  <si>
    <t>IOPES</t>
  </si>
  <si>
    <t>BUCHA PLASTICA COM PARAFUSO - 8MM</t>
  </si>
  <si>
    <t xml:space="preserve"> 2.26 </t>
  </si>
  <si>
    <t xml:space="preserve"> 040155 </t>
  </si>
  <si>
    <t>SUPORTE MAO FRANCESA AC GF 130x500mm CM595053 CEMAR LEGRAND</t>
  </si>
  <si>
    <t xml:space="preserve"> 2.27 </t>
  </si>
  <si>
    <t xml:space="preserve"> 026612 </t>
  </si>
  <si>
    <t>PARAFUSO COM BUCHA S-10</t>
  </si>
  <si>
    <t xml:space="preserve"> 2.28 </t>
  </si>
  <si>
    <t xml:space="preserve"> 73.52.04 </t>
  </si>
  <si>
    <t>SUDECAP</t>
  </si>
  <si>
    <t>VÁLVULA PARA LAVATÓRIO COM LADRÃO 1603 7/8 DARLIFLEX/EQUIVALENTE</t>
  </si>
  <si>
    <t xml:space="preserve"> 2.29 </t>
  </si>
  <si>
    <t xml:space="preserve"> G0663 </t>
  </si>
  <si>
    <t>SEINFRA</t>
  </si>
  <si>
    <t>ALICATE UNIVERSAL DIN ISO 5746, EM AÇO CROMO-VANÁDIO, ACABAMENTO NIQUELADO E CROMADO, CABO COM ISOLAMENTO CONFORME NBR 9699REFERÊNCIA: 7”</t>
  </si>
  <si>
    <t xml:space="preserve"> 2.30 </t>
  </si>
  <si>
    <t xml:space="preserve"> G0657 </t>
  </si>
  <si>
    <t>CHAVE DE FENDA SIMPLES, HASTE AÇO CROMO-VANÁDIO COM ACABAMENTO NIQUELADO E CROMADO E CABO EM POLIPROPILENO; REFERÊNCIA: 1/4” X 6”</t>
  </si>
  <si>
    <t xml:space="preserve"> 2.31 </t>
  </si>
  <si>
    <t xml:space="preserve"> 11401 </t>
  </si>
  <si>
    <t>Pilha alcalina LR20 D2 grande c/2pç  ( Rayovac )</t>
  </si>
  <si>
    <t xml:space="preserve"> 2.32 </t>
  </si>
  <si>
    <t xml:space="preserve"> 00038382 </t>
  </si>
  <si>
    <t>LINHA PARA PEDREIRO LISA, 0,8 MM X 100 M</t>
  </si>
  <si>
    <t xml:space="preserve"> 2.33 </t>
  </si>
  <si>
    <t xml:space="preserve"> 2.34 </t>
  </si>
  <si>
    <t xml:space="preserve"> E00447 </t>
  </si>
  <si>
    <t>Canaleta 20x20mm</t>
  </si>
  <si>
    <t>m</t>
  </si>
  <si>
    <t xml:space="preserve"> 2.35 </t>
  </si>
  <si>
    <t xml:space="preserve"> 9401 </t>
  </si>
  <si>
    <t>Rejunte acrílico para revestimentos cerâmicos</t>
  </si>
  <si>
    <t>kg</t>
  </si>
  <si>
    <t xml:space="preserve"> 2.36 </t>
  </si>
  <si>
    <t xml:space="preserve"> 00037589 </t>
  </si>
  <si>
    <t>TANQUE SIMPLES EM MARMORE SINTETICO COM COLUNA, CAPACIDADE *22* L, *60 X 46* CM</t>
  </si>
  <si>
    <t xml:space="preserve"> 2.37 </t>
  </si>
  <si>
    <t xml:space="preserve"> 004791 </t>
  </si>
  <si>
    <t>TOMADA 2P+T PARA TAMPA DE PISO 10A 250V TRAMONTINA</t>
  </si>
  <si>
    <t xml:space="preserve"> 2.38 </t>
  </si>
  <si>
    <t xml:space="preserve"> IEQ016950 </t>
  </si>
  <si>
    <t>SCO</t>
  </si>
  <si>
    <t>Pistola para aplicacao de silicone</t>
  </si>
  <si>
    <t xml:space="preserve"> 2.39 </t>
  </si>
  <si>
    <t xml:space="preserve"> 13553 </t>
  </si>
  <si>
    <t>Adesivo selante impermeável PU Selamax Brasilit ou similar</t>
  </si>
  <si>
    <t xml:space="preserve"> 2.40 </t>
  </si>
  <si>
    <t xml:space="preserve"> 00038390 </t>
  </si>
  <si>
    <t>ROLO DE LA DE CARNEIRO 25 MM X 23 CM (ALTURA DA LA X COMPRIMENTO), SEM CABO</t>
  </si>
  <si>
    <t xml:space="preserve"> 2.41 </t>
  </si>
  <si>
    <t xml:space="preserve"> 11251 </t>
  </si>
  <si>
    <t>Pincel de seda 2"</t>
  </si>
  <si>
    <t xml:space="preserve"> 2.42 </t>
  </si>
  <si>
    <t xml:space="preserve"> 051003 </t>
  </si>
  <si>
    <t>TUBO PVC AGUA SOLDAVEL 50mm</t>
  </si>
  <si>
    <t xml:space="preserve"> 2.43 </t>
  </si>
  <si>
    <t xml:space="preserve"> 005624 </t>
  </si>
  <si>
    <t>LUVA PVC SOLDAVEL 50mm</t>
  </si>
  <si>
    <t xml:space="preserve"> 2.44 </t>
  </si>
  <si>
    <t xml:space="preserve"> MATED-11593 </t>
  </si>
  <si>
    <t>SETOP</t>
  </si>
  <si>
    <t>ADAPTADOR SOLDÁVEL DE PVC MARROM COM FLANGES E ANEL PARA CAIXA DÁGUA (DIÂMETRO ROSCA: 1.1/4"|DIÂMETRO SOLDA: 40MM)</t>
  </si>
  <si>
    <t xml:space="preserve"> 2.45 </t>
  </si>
  <si>
    <t xml:space="preserve"> I6071 </t>
  </si>
  <si>
    <t>CAIXA D`ÁGUA DE FIBROCIMENTO DE 500 L, COM TAMPA</t>
  </si>
  <si>
    <t xml:space="preserve"> 2.46 </t>
  </si>
  <si>
    <t xml:space="preserve"> 79630 </t>
  </si>
  <si>
    <t>SIURB</t>
  </si>
  <si>
    <t>COLA PARA PVC</t>
  </si>
  <si>
    <t>Kg</t>
  </si>
  <si>
    <t xml:space="preserve"> 2.47 </t>
  </si>
  <si>
    <t xml:space="preserve"> 00010997 </t>
  </si>
  <si>
    <t>ELETRODO REVESTIDO AWS - E7018, DIAMETRO IGUAL A 4,00 MM</t>
  </si>
  <si>
    <t xml:space="preserve"> 2.48 </t>
  </si>
  <si>
    <t xml:space="preserve"> 195 </t>
  </si>
  <si>
    <t>Arame galvanizado liso 18 bwg - 1,24mm  (0,009 kg/m)</t>
  </si>
  <si>
    <t xml:space="preserve"> 2.49 </t>
  </si>
  <si>
    <t xml:space="preserve"> 007288 </t>
  </si>
  <si>
    <t>EPI - LUVA DE COBERTURA EM VAQUETA COM PUNHO EM RASPA</t>
  </si>
  <si>
    <t>PAR</t>
  </si>
  <si>
    <t xml:space="preserve"> 2.50 </t>
  </si>
  <si>
    <t xml:space="preserve"> 00026020 </t>
  </si>
  <si>
    <t>DISCO DE LIXA PARA METAL, DIAMETRO = 180 MM, GRAO 120</t>
  </si>
  <si>
    <t xml:space="preserve"> 2.51 </t>
  </si>
  <si>
    <t xml:space="preserve"> 00020111 </t>
  </si>
  <si>
    <t>FITA ISOLANTE ADESIVA ANTICHAMA, USO ATE 750 V, EM ROLO DE 19 MM X 20 M</t>
  </si>
  <si>
    <t xml:space="preserve"> 2.52 </t>
  </si>
  <si>
    <t xml:space="preserve"> 00021112 </t>
  </si>
  <si>
    <t>VALVULA DE DESCARGA EM METAL CROMADO PARA MICTORIO COM ACIONAMENTO POR PRESSAO E FECHAMENTO AUTOMATICO</t>
  </si>
  <si>
    <t xml:space="preserve"> 2.53 </t>
  </si>
  <si>
    <t xml:space="preserve"> 00039387 </t>
  </si>
  <si>
    <t>LAMPADA LED TUBULAR BIVOLT 18/20 W, BASE G13</t>
  </si>
  <si>
    <t xml:space="preserve"> 2.54 </t>
  </si>
  <si>
    <t xml:space="preserve"> 00044388 </t>
  </si>
  <si>
    <t>CABO DE COBRE FLEXIVEL NAO HALOGENADO, SEM EMISSAO DE FUMACA, 750V, SECAO NOMINAL 2,5 MM</t>
  </si>
  <si>
    <t xml:space="preserve"> 2.55 </t>
  </si>
  <si>
    <t xml:space="preserve"> 002706 </t>
  </si>
  <si>
    <t>CABO PP CORDPLAST 3 CONDUTORES 450/750V 2,50mm2</t>
  </si>
  <si>
    <t xml:space="preserve"> 2.56 </t>
  </si>
  <si>
    <t xml:space="preserve"> 045201 </t>
  </si>
  <si>
    <t>HASTE ATERRAMENTO COBREADA 5/8" x 2,40m 6715 670106 - MAGNET</t>
  </si>
  <si>
    <t xml:space="preserve"> 2.57 </t>
  </si>
  <si>
    <t xml:space="preserve"> 021188 </t>
  </si>
  <si>
    <t>SIFAO PLASTICO UNIVERSAL TIPO COPO TIGRE</t>
  </si>
  <si>
    <t xml:space="preserve"> 2.58 </t>
  </si>
  <si>
    <t xml:space="preserve"> 981 </t>
  </si>
  <si>
    <t>Fita veda rosca 18mm</t>
  </si>
  <si>
    <t xml:space="preserve"> 2.59 </t>
  </si>
  <si>
    <t xml:space="preserve"> 00045264 </t>
  </si>
  <si>
    <t>RESPIRADOR / MASCARA SEMI FACIAL COM UMA VALVULA DE INALACAO E DUAS DE EXALACAO, PROTECAO CONTRA VAPORES ORGANICOS E GASES ACIDOS (1 FILTRO INCLUIDO)</t>
  </si>
  <si>
    <t xml:space="preserve"> 2.60 </t>
  </si>
  <si>
    <t xml:space="preserve"> 11457 </t>
  </si>
  <si>
    <t>Botina BI densidade com elástico, ref.: ECB 19, da Marluvas ou similar</t>
  </si>
  <si>
    <t>pr</t>
  </si>
  <si>
    <t xml:space="preserve"> 2.61 </t>
  </si>
  <si>
    <t xml:space="preserve"> 2.62 </t>
  </si>
  <si>
    <t xml:space="preserve"> 2.63 </t>
  </si>
  <si>
    <t xml:space="preserve"> 2.64 </t>
  </si>
  <si>
    <t xml:space="preserve"> 00007213 </t>
  </si>
  <si>
    <t>TELHA DE FIBROCIMENTO ONDULADA E = 4 MM, DE 2,44 X 0,50 M (SEM AMIANTO)</t>
  </si>
  <si>
    <t>m²</t>
  </si>
  <si>
    <t xml:space="preserve"> 2.65 </t>
  </si>
  <si>
    <t xml:space="preserve"> 00007268 </t>
  </si>
  <si>
    <t>BLOCO CERAMICO / TIJOLO VAZADO PARA ALVENARIA DE VEDACAO, 8 FUROS NA HORIZONTAL DE 9 X 19 X 29 CM (L X A X C)</t>
  </si>
  <si>
    <t xml:space="preserve"> 2.66 </t>
  </si>
  <si>
    <t xml:space="preserve"> 00007525 </t>
  </si>
  <si>
    <t>TOMADA INDUSTRIAL DE EMBUTIR 3P+T 30 A, 440 V, COM TRAVA, COM PLACA</t>
  </si>
  <si>
    <t xml:space="preserve"> 2.67 </t>
  </si>
  <si>
    <t xml:space="preserve"> 2.68 </t>
  </si>
  <si>
    <t xml:space="preserve"> 00038140 </t>
  </si>
  <si>
    <t>DISCO DE CORTE DIAMANTADO SEGMENTADO, DIAMETRO DE *110* MM, FURO DE 20 MM</t>
  </si>
  <si>
    <t xml:space="preserve"> 2.69 </t>
  </si>
  <si>
    <t xml:space="preserve"> 2.70 </t>
  </si>
  <si>
    <t xml:space="preserve"> 004129 </t>
  </si>
  <si>
    <t>FERRAMENTA - TALHADEIRA DE ACO 24cm</t>
  </si>
  <si>
    <t xml:space="preserve"> 2.71 </t>
  </si>
  <si>
    <t xml:space="preserve"> 012762 </t>
  </si>
  <si>
    <t>FERRAMENTA - MARRETA ACO OITAVADO COM CABO 1 QUILO TRAMONTINA</t>
  </si>
  <si>
    <t xml:space="preserve"> 2.72 </t>
  </si>
  <si>
    <t xml:space="preserve"> 014971 </t>
  </si>
  <si>
    <t>LUVA DE CORRER PVC SOLDAVEL 20mm</t>
  </si>
  <si>
    <t xml:space="preserve"> 2.73 </t>
  </si>
  <si>
    <t xml:space="preserve"> 062570 </t>
  </si>
  <si>
    <t>LUVA DE PVC SOLDAVEL DE 25MM</t>
  </si>
  <si>
    <t xml:space="preserve"> 2.74 </t>
  </si>
  <si>
    <t xml:space="preserve"> 1756 </t>
  </si>
  <si>
    <t>AGESUL</t>
  </si>
  <si>
    <t>TUBO, PVC, SOLDAVEL, DE 25MM, INSTALADO EM RAMAL OU SUB-RAMAL DE AGUA - FORNECIMENTO E INSTALACAO. AF_06/2022 - SINAPI - 89356</t>
  </si>
  <si>
    <t xml:space="preserve"> 2.75 </t>
  </si>
  <si>
    <t xml:space="preserve"> 00000122 </t>
  </si>
  <si>
    <t>ADESIVO PLASTICO PARA PVC, FRASCO COM *850* GR</t>
  </si>
  <si>
    <t xml:space="preserve"> 2.76 </t>
  </si>
  <si>
    <t xml:space="preserve"> 00045245 </t>
  </si>
  <si>
    <t>ARCO DE SERRA REGULAVEL PARA LAMINAS DE 8" A 12"</t>
  </si>
  <si>
    <t xml:space="preserve"> 2.77 </t>
  </si>
  <si>
    <t xml:space="preserve"> 001148 </t>
  </si>
  <si>
    <t>SPUD JUNTA PRESSAO PARA VASO SANITARIO 1.1/2 CROMADO VAD655CWG ESTEVES</t>
  </si>
  <si>
    <t xml:space="preserve"> 2.78 </t>
  </si>
  <si>
    <t xml:space="preserve"> 005772 </t>
  </si>
  <si>
    <t>JOELHO 90 REDUCAO PVC ROSCAVEL 1" x 3/4"</t>
  </si>
  <si>
    <t xml:space="preserve"> 2.79 </t>
  </si>
  <si>
    <t xml:space="preserve"> 3.80.60 </t>
  </si>
  <si>
    <t>FDE</t>
  </si>
  <si>
    <t>TINNER</t>
  </si>
  <si>
    <t xml:space="preserve"> 2.80 </t>
  </si>
  <si>
    <t xml:space="preserve"> 11403 </t>
  </si>
  <si>
    <t>Luva malha Pigmentada</t>
  </si>
  <si>
    <t>par</t>
  </si>
  <si>
    <t xml:space="preserve"> 2.81 </t>
  </si>
  <si>
    <t xml:space="preserve"> 00038124 </t>
  </si>
  <si>
    <t>ESPUMA EXPANSIVA DE POLIURETANO, APLICACAO MANUAL - 500 ML</t>
  </si>
  <si>
    <t xml:space="preserve"> 2.82 </t>
  </si>
  <si>
    <t xml:space="preserve"> 00044254 </t>
  </si>
  <si>
    <t>ADAPTADOR CPVC, ROSCAVEL, COM FLANGES E ANEL DE VEDACAO, 15 MM, CAIXA D'AGUA PARA AGUA QUENTE</t>
  </si>
  <si>
    <t xml:space="preserve"> 2.83 </t>
  </si>
  <si>
    <t xml:space="preserve"> 00003146 </t>
  </si>
  <si>
    <t>FITA VEDA ROSCA, EM PTFE, ROLO DE 18 MM X 10 M (L X C)</t>
  </si>
  <si>
    <t xml:space="preserve"> 2.84 </t>
  </si>
  <si>
    <t xml:space="preserve"> 00004178 </t>
  </si>
  <si>
    <t>NIPLE DE FERRO GALVANIZADO, COM ROSCA BSP, DE 3/4"</t>
  </si>
  <si>
    <t xml:space="preserve"> 2.85 </t>
  </si>
  <si>
    <t xml:space="preserve"> 013095 </t>
  </si>
  <si>
    <t>ADAPTADOR PVC CURTO SOLDAVEL BOLSA/ROSCA 20mmx1/2"</t>
  </si>
  <si>
    <t xml:space="preserve"> 2.86 </t>
  </si>
  <si>
    <t xml:space="preserve"> 063480 </t>
  </si>
  <si>
    <t>BACIA SANITÁRIA CONVENCIONAL RAVENA P9, DECA</t>
  </si>
  <si>
    <t xml:space="preserve"> 2.87 </t>
  </si>
  <si>
    <t xml:space="preserve"> 00011762 </t>
  </si>
  <si>
    <t>TORNEIRA METALICA CROMADA PARA JARDIM / TANQUE, COM BICO PLASTICO, CANO LONGO, DE PAREDE, PADRAO POPULAR / USO GERAL, 1/2" OU 3/4"</t>
  </si>
  <si>
    <t xml:space="preserve"> 2.88 </t>
  </si>
  <si>
    <t xml:space="preserve"> 00006034 </t>
  </si>
  <si>
    <t>REGISTRO DE ESFERA DE PASSEIO, PVC PARA POLIETILENO, 20 MM</t>
  </si>
  <si>
    <t xml:space="preserve"> 2.89 </t>
  </si>
  <si>
    <t xml:space="preserve"> 00006142 </t>
  </si>
  <si>
    <t>CONJUNTO DE LIGACAO AJUSTAVEL, PARA VASO / BACIA SANITARIA, EM PLASTICO BRANCO, COM TUBO, CANOPLA E ESPUDE</t>
  </si>
  <si>
    <t xml:space="preserve"> 2.90 </t>
  </si>
  <si>
    <t xml:space="preserve"> 003829 </t>
  </si>
  <si>
    <t>TORNEIRA PARA TANQUE REF.1133 CROMADA 1/2"</t>
  </si>
  <si>
    <t xml:space="preserve"> 2.91 </t>
  </si>
  <si>
    <t xml:space="preserve"> 2.92 </t>
  </si>
  <si>
    <t xml:space="preserve"> 00036795 </t>
  </si>
  <si>
    <t>TORNEIRA METALICA CROMADA DE MESA PARA LAVATORIO, COM SENSOR DE PRESENCA A PILHA, COM AREJADOR EMBUTIDO</t>
  </si>
  <si>
    <t xml:space="preserve"> 2.93 </t>
  </si>
  <si>
    <t xml:space="preserve"> 00039385 </t>
  </si>
  <si>
    <t>LUMINARIA LED PLAFON REDONDO DE SOBREPOR BIVOLT 12/13 W, D = *17* CM</t>
  </si>
  <si>
    <t xml:space="preserve"> 2.94 </t>
  </si>
  <si>
    <t xml:space="preserve"> 2.95 </t>
  </si>
  <si>
    <t xml:space="preserve"> 2.96 </t>
  </si>
  <si>
    <t xml:space="preserve"> 2.97 </t>
  </si>
  <si>
    <t xml:space="preserve"> 2.98 </t>
  </si>
  <si>
    <t xml:space="preserve"> 9524 </t>
  </si>
  <si>
    <t>Vaso sanitário com caixa de descarga acoplada, linha infantil, 6 Lt, branca, CELITE ou similar</t>
  </si>
  <si>
    <t xml:space="preserve"> 2.99 </t>
  </si>
  <si>
    <t xml:space="preserve"> 2.100 </t>
  </si>
  <si>
    <t xml:space="preserve"> 2502 </t>
  </si>
  <si>
    <t>AGETOP CIVIL</t>
  </si>
  <si>
    <t>AREIA FINA</t>
  </si>
  <si>
    <t xml:space="preserve"> 2.101 </t>
  </si>
  <si>
    <t xml:space="preserve"> B.04.000.020504 </t>
  </si>
  <si>
    <t>CPOS/CDHU</t>
  </si>
  <si>
    <t>Areia grossa</t>
  </si>
  <si>
    <t xml:space="preserve"> 2.102 </t>
  </si>
  <si>
    <t xml:space="preserve"> 2386 </t>
  </si>
  <si>
    <t>BRITA Nº 1</t>
  </si>
  <si>
    <t xml:space="preserve"> 2.103 </t>
  </si>
  <si>
    <t xml:space="preserve"> 2.104 </t>
  </si>
  <si>
    <t xml:space="preserve"> 2.105 </t>
  </si>
  <si>
    <t xml:space="preserve"> 00014543 </t>
  </si>
  <si>
    <t>SOQUETE DE PVC / TERMOPLASTICO BASE E27, COM CHAVE, PARA LAMPADAS</t>
  </si>
  <si>
    <t xml:space="preserve"> 2.106 </t>
  </si>
  <si>
    <t xml:space="preserve"> 2660 </t>
  </si>
  <si>
    <t>TORNEIRA METALICA CROMADA DE MESA PARA LAVATORIO, BICA ALTA, COM AREJADOR - SINAPI - 00036791</t>
  </si>
  <si>
    <t xml:space="preserve"> 2.107 </t>
  </si>
  <si>
    <t xml:space="preserve"> MAT079505 </t>
  </si>
  <si>
    <t>Lampada LED, bulbo, A60, 30W, 100/240V, base E-27.</t>
  </si>
  <si>
    <t xml:space="preserve"> 2.108 </t>
  </si>
  <si>
    <t xml:space="preserve"> 2.109 </t>
  </si>
  <si>
    <t xml:space="preserve"> 00012815 </t>
  </si>
  <si>
    <t>FITA CREPE ROLO DE *25* MM X 50 M</t>
  </si>
  <si>
    <t xml:space="preserve"> 2.110 </t>
  </si>
  <si>
    <t xml:space="preserve"> 2.111 </t>
  </si>
  <si>
    <t xml:space="preserve"> 00006085 </t>
  </si>
  <si>
    <t>SELADOR ACRILICO OPACO PREMIUM INTERIOR/EXTERIOR</t>
  </si>
  <si>
    <t xml:space="preserve"> 2.112 </t>
  </si>
  <si>
    <t xml:space="preserve"> 00044531 </t>
  </si>
  <si>
    <t>DISCO DE CORTE DIAMANTADO SEGMENTADO DIAMETRO DE 180 MM PARA ESMERILHADEIRA 7"</t>
  </si>
  <si>
    <t xml:space="preserve"> 2.113 </t>
  </si>
  <si>
    <t xml:space="preserve"> 3.80.05 </t>
  </si>
  <si>
    <t>DISCO DE DESBASTE 7"</t>
  </si>
  <si>
    <t xml:space="preserve"> 2.114 </t>
  </si>
  <si>
    <t xml:space="preserve"> 00000154 </t>
  </si>
  <si>
    <t>TINTA / REVESTIMENTO A BASE DE RESINA EPOXI COM ALCATRAO, BICOMPONENTE</t>
  </si>
  <si>
    <t xml:space="preserve"> 2.115 </t>
  </si>
  <si>
    <t xml:space="preserve"> 00007119 </t>
  </si>
  <si>
    <t>TE DE REDUCAO COM ROSCA, PVC, 90 GRAUS, 1 X 3/4", PARA AGUA FRIA PREDIAL</t>
  </si>
  <si>
    <t xml:space="preserve"> 2.116 </t>
  </si>
  <si>
    <t xml:space="preserve"> 00004179 </t>
  </si>
  <si>
    <t>NIPLE DE FERRO GALVANIZADO, COM ROSCA BSP, DE 1"</t>
  </si>
  <si>
    <t xml:space="preserve"> 2.117 </t>
  </si>
  <si>
    <t xml:space="preserve"> G0692 </t>
  </si>
  <si>
    <t>CHAVE COMBINADA PLANA COM CATRACA, AÇO CROMO-VANÁDIO, ACABAMENTO NIQUELADO E CROMADOREFERÊNCIA: 19MM</t>
  </si>
  <si>
    <t xml:space="preserve"> 2.118 </t>
  </si>
  <si>
    <t xml:space="preserve"> G0693 </t>
  </si>
  <si>
    <t>CHAVE COMBINADA PLANA COM CATRACA, AÇO CROMO-VANÁDIO, ACABAMENTO NIQUELADO E CROMADOREFERÊNCIA: 21MM</t>
  </si>
  <si>
    <t xml:space="preserve"> 2.119 </t>
  </si>
  <si>
    <t xml:space="preserve"> 14210 </t>
  </si>
  <si>
    <t>Barra roscada zincada ø 5/8", aço SAE 1020</t>
  </si>
  <si>
    <t xml:space="preserve"> 2.120 </t>
  </si>
  <si>
    <t xml:space="preserve"> 00004342 </t>
  </si>
  <si>
    <t>PORCA ZINCADA, SEXTAVADA, DIAMETRO 3/8"</t>
  </si>
  <si>
    <t xml:space="preserve"> 2.121 </t>
  </si>
  <si>
    <t xml:space="preserve"> 098747 </t>
  </si>
  <si>
    <t>ARRUELA LISA ACO GALVANIZADO 3/8"</t>
  </si>
  <si>
    <t xml:space="preserve"> 2.122 </t>
  </si>
  <si>
    <t xml:space="preserve"> 012757 </t>
  </si>
  <si>
    <t>FERRAMENTA - CAVADEIRA ARTICULADA COM 2 CABOS CADIOLI</t>
  </si>
  <si>
    <t xml:space="preserve"> 2.123 </t>
  </si>
  <si>
    <t xml:space="preserve"> 2.124 </t>
  </si>
  <si>
    <t xml:space="preserve"> 012442 </t>
  </si>
  <si>
    <t>SUPORTE MAO FRANCESA AC GF 130x400mm CM595043 CEMAR LEGRAND</t>
  </si>
  <si>
    <t xml:space="preserve"> 2.125 </t>
  </si>
  <si>
    <t xml:space="preserve"> 026592 </t>
  </si>
  <si>
    <t>BUCHA PLASTICA S-8</t>
  </si>
  <si>
    <t xml:space="preserve"> 2.126 </t>
  </si>
  <si>
    <t xml:space="preserve"> I2363 </t>
  </si>
  <si>
    <t>JOELHO PVC SOLDAVEL 25MM</t>
  </si>
  <si>
    <t xml:space="preserve"> 2.127 </t>
  </si>
  <si>
    <t xml:space="preserve"> 072541 </t>
  </si>
  <si>
    <t>KIT CAVALETE INSTALACAO GAS 4 BUTIJAO P45 GLP COM MANOMETRO</t>
  </si>
  <si>
    <t xml:space="preserve"> 2.128 </t>
  </si>
  <si>
    <t xml:space="preserve"> 9378 </t>
  </si>
  <si>
    <t>Medidor de gás GLP, classe 300, d=28mm</t>
  </si>
  <si>
    <t xml:space="preserve"> 2.129 </t>
  </si>
  <si>
    <t xml:space="preserve"> MATED-12331 </t>
  </si>
  <si>
    <t>VÁLVULA REGISTRO GÁS COM TÊ REVERSÍVEL (QUANTIDADE: 2 BOTIJÕES|PADRÃO: P45)</t>
  </si>
  <si>
    <t xml:space="preserve"> 2.130 </t>
  </si>
  <si>
    <t xml:space="preserve"> 141512 </t>
  </si>
  <si>
    <t>Luva de PVC soldável marrom, diâmetro 25mm (3/4")</t>
  </si>
  <si>
    <t>und</t>
  </si>
  <si>
    <t xml:space="preserve"> 2.131 </t>
  </si>
  <si>
    <t xml:space="preserve"> 014975 </t>
  </si>
  <si>
    <t>LUVA DE CORRER PVC SOLDAVEL 50mm</t>
  </si>
  <si>
    <t xml:space="preserve"> 2.132 </t>
  </si>
  <si>
    <t xml:space="preserve"> 005622 </t>
  </si>
  <si>
    <t>LUVA PVC SOLDAVEL 32mm</t>
  </si>
  <si>
    <t xml:space="preserve"> 2.133 </t>
  </si>
  <si>
    <t xml:space="preserve"> 046615 </t>
  </si>
  <si>
    <t>CAP PVC SERIE R 40mm</t>
  </si>
  <si>
    <t xml:space="preserve"> 2.134 </t>
  </si>
  <si>
    <t xml:space="preserve"> 2.135 </t>
  </si>
  <si>
    <t xml:space="preserve"> 036559 </t>
  </si>
  <si>
    <t>PLUG MACHO 2P + T 20A</t>
  </si>
  <si>
    <t xml:space="preserve"> 3 </t>
  </si>
  <si>
    <t>CUSTO OPERACIONAL</t>
  </si>
  <si>
    <t xml:space="preserve"> 3.1 </t>
  </si>
  <si>
    <t xml:space="preserve"> 4415 </t>
  </si>
  <si>
    <t>Veículo leve - Volkswagen:GOL ou similar</t>
  </si>
  <si>
    <t>h</t>
  </si>
  <si>
    <t xml:space="preserve"> 3.2 </t>
  </si>
  <si>
    <t xml:space="preserve"> 2789 </t>
  </si>
  <si>
    <t>Veículo leve - pick up (97kw)</t>
  </si>
  <si>
    <t xml:space="preserve"> 3.3 </t>
  </si>
  <si>
    <t xml:space="preserve"> 00040862 </t>
  </si>
  <si>
    <t>ALIMENTACAO - MENSALISTA (COLETADO CAIXA - ENCARGOS COMPLEMENTARES)</t>
  </si>
  <si>
    <t>MES</t>
  </si>
  <si>
    <t xml:space="preserve"> 3.4 </t>
  </si>
  <si>
    <t xml:space="preserve"> 00040861 </t>
  </si>
  <si>
    <t>TRANSPORTE - MENSALISTA (COLETADO CAIXA - ENCARGOS COMPLEMENTARES)</t>
  </si>
  <si>
    <t xml:space="preserve"> 3.5 </t>
  </si>
  <si>
    <t xml:space="preserve"> 10558 </t>
  </si>
  <si>
    <t>Internet - dispêndio mensal</t>
  </si>
  <si>
    <t>mês</t>
  </si>
  <si>
    <t>Total Geral</t>
  </si>
  <si>
    <t>Desconto</t>
  </si>
  <si>
    <t>Valor Unit com Desconto</t>
  </si>
  <si>
    <t>_______________________________________________________________
LUCAS COSTA FERREIRA
Secretaria Municipal de Obras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</si>
</sst>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%"/>
  </numFmts>
  <fonts count="29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name val="Arial"/>
      <family val="1"/>
    </font>
  </fonts>
  <fills count="2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2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center" vertical="top" wrapText="1"/>
    </xf>
    <xf numFmtId="0" fontId="5" fillId="6" borderId="3" xfId="0" applyFont="1" applyFill="1" applyBorder="1" applyAlignment="1">
      <alignment horizontal="right" vertical="top" wrapText="1"/>
    </xf>
    <xf numFmtId="0" fontId="6" fillId="7" borderId="4" xfId="0" applyFont="1" applyFill="1" applyBorder="1" applyAlignment="1">
      <alignment horizontal="left" vertical="top" wrapText="1"/>
    </xf>
    <xf numFmtId="0" fontId="7" fillId="8" borderId="5" xfId="0" applyFont="1" applyFill="1" applyBorder="1" applyAlignment="1">
      <alignment horizontal="center" vertical="top" wrapText="1"/>
    </xf>
    <xf numFmtId="0" fontId="8" fillId="9" borderId="6" xfId="0" applyFont="1" applyFill="1" applyBorder="1" applyAlignment="1">
      <alignment horizontal="right" vertical="top" wrapText="1"/>
    </xf>
    <xf numFmtId="4" fontId="9" fillId="10" borderId="7" xfId="0" applyNumberFormat="1" applyFont="1" applyFill="1" applyBorder="1" applyAlignment="1">
      <alignment horizontal="right" vertical="top" wrapText="1"/>
    </xf>
    <xf numFmtId="164" fontId="10" fillId="11" borderId="8" xfId="0" applyNumberFormat="1" applyFont="1" applyFill="1" applyBorder="1" applyAlignment="1">
      <alignment horizontal="right" vertical="top" wrapText="1"/>
    </xf>
    <xf numFmtId="0" fontId="12" fillId="12" borderId="9" xfId="0" applyFont="1" applyFill="1" applyBorder="1" applyAlignment="1">
      <alignment horizontal="left" vertical="top" wrapText="1"/>
    </xf>
    <xf numFmtId="0" fontId="13" fillId="13" borderId="10" xfId="0" applyFont="1" applyFill="1" applyBorder="1" applyAlignment="1">
      <alignment horizontal="center" vertical="top" wrapText="1"/>
    </xf>
    <xf numFmtId="4" fontId="14" fillId="14" borderId="11" xfId="0" applyNumberFormat="1" applyFont="1" applyFill="1" applyBorder="1" applyAlignment="1">
      <alignment horizontal="right" vertical="top" wrapText="1"/>
    </xf>
    <xf numFmtId="164" fontId="15" fillId="15" borderId="12" xfId="0" applyNumberFormat="1" applyFont="1" applyFill="1" applyBorder="1" applyAlignment="1">
      <alignment horizontal="right" vertical="top" wrapText="1"/>
    </xf>
    <xf numFmtId="0" fontId="17" fillId="16" borderId="13" xfId="0" applyFont="1" applyFill="1" applyBorder="1" applyAlignment="1">
      <alignment horizontal="left" vertical="top" wrapText="1"/>
    </xf>
    <xf numFmtId="0" fontId="18" fillId="17" borderId="14" xfId="0" applyFont="1" applyFill="1" applyBorder="1" applyAlignment="1">
      <alignment horizontal="center" vertical="top" wrapText="1"/>
    </xf>
    <xf numFmtId="0" fontId="19" fillId="18" borderId="15" xfId="0" applyFont="1" applyFill="1" applyBorder="1" applyAlignment="1">
      <alignment horizontal="right" vertical="top" wrapText="1"/>
    </xf>
    <xf numFmtId="4" fontId="20" fillId="19" borderId="16" xfId="0" applyNumberFormat="1" applyFont="1" applyFill="1" applyBorder="1" applyAlignment="1">
      <alignment horizontal="right" vertical="top" wrapText="1"/>
    </xf>
    <xf numFmtId="164" fontId="21" fillId="20" borderId="17" xfId="0" applyNumberFormat="1" applyFont="1" applyFill="1" applyBorder="1" applyAlignment="1">
      <alignment horizontal="right" vertical="top" wrapText="1"/>
    </xf>
    <xf numFmtId="0" fontId="22" fillId="21" borderId="0" xfId="0" applyFont="1" applyFill="1" applyAlignment="1">
      <alignment horizontal="left" vertical="top" wrapText="1"/>
    </xf>
    <xf numFmtId="0" fontId="23" fillId="22" borderId="0" xfId="0" applyFont="1" applyFill="1" applyAlignment="1">
      <alignment horizontal="center" vertical="top" wrapText="1"/>
    </xf>
    <xf numFmtId="0" fontId="24" fillId="23" borderId="0" xfId="0" applyFont="1" applyFill="1" applyAlignment="1">
      <alignment horizontal="right" vertical="top" wrapText="1"/>
    </xf>
    <xf numFmtId="4" fontId="25" fillId="24" borderId="0" xfId="0" applyNumberFormat="1" applyFont="1" applyFill="1" applyAlignment="1">
      <alignment horizontal="right" vertical="top" wrapText="1"/>
    </xf>
    <xf numFmtId="164" fontId="26" fillId="25" borderId="0" xfId="0" applyNumberFormat="1" applyFont="1" applyFill="1" applyAlignment="1">
      <alignment horizontal="right" vertical="top" wrapText="1"/>
    </xf>
    <xf numFmtId="0" fontId="27" fillId="26" borderId="0" xfId="0" applyFont="1" applyFill="1" applyAlignment="1">
      <alignment horizontal="left" vertical="top" wrapText="1"/>
    </xf>
    <xf numFmtId="0" fontId="28" fillId="27" borderId="0" xfId="0" applyFont="1" applyFill="1" applyAlignment="1">
      <alignment horizontal="center" vertical="top" wrapText="1"/>
    </xf>
    <xf numFmtId="4" fontId="9" fillId="10" borderId="18" xfId="0" applyNumberFormat="1" applyFont="1" applyFill="1" applyBorder="1" applyAlignment="1">
      <alignment horizontal="right" vertical="top" wrapText="1"/>
    </xf>
    <xf numFmtId="4" fontId="14" fillId="14" borderId="18" xfId="0" applyNumberFormat="1" applyFont="1" applyFill="1" applyBorder="1" applyAlignment="1">
      <alignment horizontal="right" vertical="top" wrapText="1"/>
    </xf>
    <xf numFmtId="0" fontId="1" fillId="6" borderId="18" xfId="0" applyFont="1" applyFill="1" applyBorder="1" applyAlignment="1">
      <alignment horizontal="right" vertical="top" wrapText="1"/>
    </xf>
    <xf numFmtId="0" fontId="24" fillId="23" borderId="0" xfId="0" applyFont="1" applyFill="1" applyAlignment="1">
      <alignment horizontal="right" vertical="top" wrapText="1"/>
    </xf>
    <xf numFmtId="0" fontId="22" fillId="21" borderId="0" xfId="0" applyFont="1" applyFill="1" applyAlignment="1">
      <alignment horizontal="left" vertical="top" wrapText="1"/>
    </xf>
    <xf numFmtId="4" fontId="25" fillId="24" borderId="0" xfId="0" applyNumberFormat="1" applyFont="1" applyFill="1" applyAlignment="1">
      <alignment horizontal="right" vertical="top" wrapText="1"/>
    </xf>
    <xf numFmtId="0" fontId="16" fillId="27" borderId="0" xfId="0" applyFont="1" applyFill="1" applyAlignment="1">
      <alignment horizontal="center" vertical="top" wrapText="1"/>
    </xf>
    <xf numFmtId="0" fontId="0" fillId="0" borderId="0" xfId="0"/>
    <xf numFmtId="0" fontId="2" fillId="3" borderId="0" xfId="0" applyFont="1" applyFill="1" applyAlignment="1">
      <alignment horizontal="center" wrapText="1"/>
    </xf>
    <xf numFmtId="0" fontId="1" fillId="2" borderId="0" xfId="0" applyFont="1" applyFill="1" applyAlignment="1">
      <alignment horizontal="left" vertical="top" wrapText="1"/>
    </xf>
    <xf numFmtId="0" fontId="22" fillId="21" borderId="0" xfId="0" applyFont="1" applyFill="1" applyAlignment="1">
      <alignment horizontal="right" vertical="top" wrapText="1"/>
    </xf>
    <xf numFmtId="0" fontId="11" fillId="21" borderId="19" xfId="0" applyFont="1" applyFill="1" applyBorder="1" applyAlignment="1">
      <alignment horizontal="right" vertical="top" wrapText="1"/>
    </xf>
    <xf numFmtId="0" fontId="12" fillId="15" borderId="18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52600" cy="1905000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8"/>
  <sheetViews>
    <sheetView tabSelected="1" showWhiteSpace="0" topLeftCell="A123" workbookViewId="0">
      <selection activeCell="H167" sqref="H167"/>
    </sheetView>
  </sheetViews>
  <sheetFormatPr defaultRowHeight="14.25" x14ac:dyDescent="0.2"/>
  <cols>
    <col min="1" max="2" width="13" bestFit="1" customWidth="1"/>
    <col min="3" max="3" width="15" bestFit="1" customWidth="1"/>
    <col min="4" max="4" width="60" bestFit="1" customWidth="1"/>
    <col min="5" max="5" width="8" bestFit="1" customWidth="1"/>
    <col min="6" max="8" width="13" bestFit="1" customWidth="1"/>
    <col min="9" max="9" width="13" customWidth="1"/>
    <col min="10" max="12" width="13" bestFit="1" customWidth="1"/>
  </cols>
  <sheetData>
    <row r="1" spans="1:11" ht="15" x14ac:dyDescent="0.2">
      <c r="A1" s="1"/>
      <c r="B1" s="1"/>
      <c r="C1" s="1"/>
      <c r="D1" s="1" t="s">
        <v>0</v>
      </c>
      <c r="E1" s="35" t="s">
        <v>1</v>
      </c>
      <c r="F1" s="35"/>
      <c r="G1" s="35" t="s">
        <v>2</v>
      </c>
      <c r="H1" s="35"/>
      <c r="I1" s="1"/>
      <c r="J1" s="35" t="s">
        <v>3</v>
      </c>
      <c r="K1" s="35">
        <f>J8 + J23 + J159</f>
        <v>184457.74000000002</v>
      </c>
    </row>
    <row r="2" spans="1:11" ht="80.099999999999994" customHeight="1" x14ac:dyDescent="0.2">
      <c r="A2" s="19"/>
      <c r="B2" s="19"/>
      <c r="C2" s="19"/>
      <c r="D2" s="19" t="s">
        <v>4</v>
      </c>
      <c r="E2" s="30" t="s">
        <v>5</v>
      </c>
      <c r="F2" s="30"/>
      <c r="G2" s="30" t="s">
        <v>6</v>
      </c>
      <c r="H2" s="30"/>
      <c r="I2" s="19"/>
      <c r="J2" s="30" t="s">
        <v>7</v>
      </c>
      <c r="K2" s="30"/>
    </row>
    <row r="3" spans="1:11" ht="15" x14ac:dyDescent="0.25">
      <c r="A3" s="34" t="s">
        <v>8</v>
      </c>
      <c r="B3" s="33"/>
      <c r="C3" s="33"/>
      <c r="D3" s="33"/>
      <c r="E3" s="33"/>
      <c r="F3" s="33"/>
      <c r="G3" s="33"/>
      <c r="H3" s="33"/>
      <c r="I3" s="33"/>
      <c r="J3" s="33"/>
      <c r="K3" s="33"/>
    </row>
    <row r="4" spans="1:11" x14ac:dyDescent="0.2">
      <c r="A4" s="19"/>
      <c r="B4" s="19"/>
      <c r="C4" s="19"/>
      <c r="D4" s="19"/>
      <c r="E4" s="19"/>
      <c r="F4" s="19"/>
      <c r="G4" s="19"/>
      <c r="H4" s="36" t="s">
        <v>9</v>
      </c>
      <c r="I4" s="36"/>
      <c r="J4" s="19"/>
      <c r="K4" s="22">
        <f>H166</f>
        <v>184457.74000000002</v>
      </c>
    </row>
    <row r="5" spans="1:11" x14ac:dyDescent="0.2">
      <c r="A5" s="19"/>
      <c r="B5" s="19"/>
      <c r="C5" s="19"/>
      <c r="D5" s="19"/>
      <c r="E5" s="19"/>
      <c r="F5" s="19"/>
      <c r="G5" s="19"/>
      <c r="H5" s="36" t="s">
        <v>10</v>
      </c>
      <c r="I5" s="36"/>
      <c r="J5" s="19"/>
      <c r="K5" s="23">
        <v>0.26929999999999998</v>
      </c>
    </row>
    <row r="6" spans="1:11" ht="20.100000000000001" customHeight="1" x14ac:dyDescent="0.2">
      <c r="A6" s="19"/>
      <c r="B6" s="19"/>
      <c r="C6" s="19"/>
      <c r="D6" s="19"/>
      <c r="E6" s="19"/>
      <c r="F6" s="19"/>
      <c r="G6" s="19"/>
      <c r="H6" s="37" t="s">
        <v>487</v>
      </c>
      <c r="I6" s="37"/>
      <c r="J6" s="19"/>
      <c r="K6" s="23">
        <v>0.17599999999999999</v>
      </c>
    </row>
    <row r="7" spans="1:11" ht="30" customHeight="1" x14ac:dyDescent="0.2">
      <c r="A7" s="2" t="s">
        <v>11</v>
      </c>
      <c r="B7" s="4" t="s">
        <v>12</v>
      </c>
      <c r="C7" s="2" t="s">
        <v>13</v>
      </c>
      <c r="D7" s="2" t="s">
        <v>14</v>
      </c>
      <c r="E7" s="3" t="s">
        <v>15</v>
      </c>
      <c r="F7" s="4" t="s">
        <v>16</v>
      </c>
      <c r="G7" s="4" t="s">
        <v>17</v>
      </c>
      <c r="H7" s="4" t="s">
        <v>18</v>
      </c>
      <c r="I7" s="28" t="s">
        <v>488</v>
      </c>
      <c r="J7" s="4" t="s">
        <v>19</v>
      </c>
      <c r="K7" s="4" t="s">
        <v>20</v>
      </c>
    </row>
    <row r="8" spans="1:11" ht="24" customHeight="1" x14ac:dyDescent="0.2">
      <c r="A8" s="5" t="s">
        <v>21</v>
      </c>
      <c r="B8" s="5" t="s">
        <v>22</v>
      </c>
      <c r="C8" s="5"/>
      <c r="D8" s="5" t="s">
        <v>23</v>
      </c>
      <c r="E8" s="6"/>
      <c r="F8" s="7"/>
      <c r="G8" s="7"/>
      <c r="H8" s="8"/>
      <c r="I8" s="26"/>
      <c r="J8" s="8">
        <f>SUM(J9:J22)</f>
        <v>98504.380000000019</v>
      </c>
      <c r="K8" s="9">
        <f>J8 / K4</f>
        <v>0.53402139698773288</v>
      </c>
    </row>
    <row r="9" spans="1:11" ht="26.1" customHeight="1" x14ac:dyDescent="0.2">
      <c r="A9" s="10" t="s">
        <v>24</v>
      </c>
      <c r="B9" s="10" t="s">
        <v>25</v>
      </c>
      <c r="C9" s="10" t="s">
        <v>26</v>
      </c>
      <c r="D9" s="10" t="s">
        <v>27</v>
      </c>
      <c r="E9" s="11" t="s">
        <v>28</v>
      </c>
      <c r="F9" s="38">
        <v>156</v>
      </c>
      <c r="G9" s="12">
        <v>24.73</v>
      </c>
      <c r="H9" s="12">
        <f>TRUNC(TRUNC(G9 * K5, 2) + G9, 2)</f>
        <v>31.38</v>
      </c>
      <c r="I9" s="27">
        <f t="shared" ref="I9:I22" si="0">TRUNC(H9-(H9*$K$6),2)</f>
        <v>25.85</v>
      </c>
      <c r="J9" s="12">
        <f>TRUNC(F9 * I9,2)</f>
        <v>4032.6</v>
      </c>
      <c r="K9" s="13">
        <f>J9 / K4</f>
        <v>2.1861918074026057E-2</v>
      </c>
    </row>
    <row r="10" spans="1:11" ht="24" customHeight="1" x14ac:dyDescent="0.2">
      <c r="A10" s="10" t="s">
        <v>29</v>
      </c>
      <c r="B10" s="10" t="s">
        <v>30</v>
      </c>
      <c r="C10" s="10" t="s">
        <v>26</v>
      </c>
      <c r="D10" s="10" t="s">
        <v>31</v>
      </c>
      <c r="E10" s="11" t="s">
        <v>28</v>
      </c>
      <c r="F10" s="38">
        <v>208</v>
      </c>
      <c r="G10" s="12">
        <v>28.07</v>
      </c>
      <c r="H10" s="12">
        <f>TRUNC(TRUNC(G10 * K5, 2) + G10, 2)</f>
        <v>35.619999999999997</v>
      </c>
      <c r="I10" s="27">
        <f t="shared" si="0"/>
        <v>29.35</v>
      </c>
      <c r="J10" s="12">
        <f t="shared" ref="J10:J73" si="1">TRUNC(F10 * I10,2)</f>
        <v>6104.8</v>
      </c>
      <c r="K10" s="13">
        <f>J10 / K4</f>
        <v>3.3095927555005282E-2</v>
      </c>
    </row>
    <row r="11" spans="1:11" ht="26.1" customHeight="1" x14ac:dyDescent="0.2">
      <c r="A11" s="10" t="s">
        <v>32</v>
      </c>
      <c r="B11" s="10" t="s">
        <v>33</v>
      </c>
      <c r="C11" s="10" t="s">
        <v>26</v>
      </c>
      <c r="D11" s="10" t="s">
        <v>34</v>
      </c>
      <c r="E11" s="11" t="s">
        <v>28</v>
      </c>
      <c r="F11" s="38">
        <v>156</v>
      </c>
      <c r="G11" s="12">
        <v>24.31</v>
      </c>
      <c r="H11" s="12">
        <f>TRUNC(TRUNC(G11 * K5, 2) + G11, 2)</f>
        <v>30.85</v>
      </c>
      <c r="I11" s="27">
        <f t="shared" si="0"/>
        <v>25.42</v>
      </c>
      <c r="J11" s="12">
        <f t="shared" si="1"/>
        <v>3965.52</v>
      </c>
      <c r="K11" s="13">
        <f>J11 / K4</f>
        <v>2.1498257541266632E-2</v>
      </c>
    </row>
    <row r="12" spans="1:11" ht="24" customHeight="1" x14ac:dyDescent="0.2">
      <c r="A12" s="10" t="s">
        <v>35</v>
      </c>
      <c r="B12" s="10" t="s">
        <v>36</v>
      </c>
      <c r="C12" s="10" t="s">
        <v>26</v>
      </c>
      <c r="D12" s="10" t="s">
        <v>37</v>
      </c>
      <c r="E12" s="11" t="s">
        <v>28</v>
      </c>
      <c r="F12" s="38">
        <v>156</v>
      </c>
      <c r="G12" s="12">
        <v>24.12</v>
      </c>
      <c r="H12" s="12">
        <f>TRUNC(TRUNC(G12 * K5, 2) + G12, 2)</f>
        <v>30.61</v>
      </c>
      <c r="I12" s="27">
        <f t="shared" si="0"/>
        <v>25.22</v>
      </c>
      <c r="J12" s="12">
        <f t="shared" si="1"/>
        <v>3934.32</v>
      </c>
      <c r="K12" s="13">
        <f>J12 / K4</f>
        <v>2.1329113107425038E-2</v>
      </c>
    </row>
    <row r="13" spans="1:11" ht="24" customHeight="1" x14ac:dyDescent="0.2">
      <c r="A13" s="10" t="s">
        <v>38</v>
      </c>
      <c r="B13" s="10" t="s">
        <v>39</v>
      </c>
      <c r="C13" s="10" t="s">
        <v>26</v>
      </c>
      <c r="D13" s="10" t="s">
        <v>40</v>
      </c>
      <c r="E13" s="11" t="s">
        <v>28</v>
      </c>
      <c r="F13" s="38">
        <v>208</v>
      </c>
      <c r="G13" s="12">
        <v>28.6</v>
      </c>
      <c r="H13" s="12">
        <f>TRUNC(TRUNC(G13 * K5, 2) + G13, 2)</f>
        <v>36.299999999999997</v>
      </c>
      <c r="I13" s="27">
        <f t="shared" si="0"/>
        <v>29.91</v>
      </c>
      <c r="J13" s="12">
        <f t="shared" si="1"/>
        <v>6221.28</v>
      </c>
      <c r="K13" s="13">
        <f>J13 / K4</f>
        <v>3.3727400108013894E-2</v>
      </c>
    </row>
    <row r="14" spans="1:11" ht="26.1" customHeight="1" x14ac:dyDescent="0.2">
      <c r="A14" s="10" t="s">
        <v>41</v>
      </c>
      <c r="B14" s="10" t="s">
        <v>42</v>
      </c>
      <c r="C14" s="10" t="s">
        <v>26</v>
      </c>
      <c r="D14" s="10" t="s">
        <v>43</v>
      </c>
      <c r="E14" s="11" t="s">
        <v>28</v>
      </c>
      <c r="F14" s="38">
        <v>156</v>
      </c>
      <c r="G14" s="12">
        <v>22.54</v>
      </c>
      <c r="H14" s="12">
        <f>TRUNC(TRUNC(G14 * K5, 2) + G14, 2)</f>
        <v>28.61</v>
      </c>
      <c r="I14" s="27">
        <f t="shared" si="0"/>
        <v>23.57</v>
      </c>
      <c r="J14" s="12">
        <f t="shared" si="1"/>
        <v>3676.92</v>
      </c>
      <c r="K14" s="13">
        <f>J14 / K4</f>
        <v>1.9933671528231885E-2</v>
      </c>
    </row>
    <row r="15" spans="1:11" ht="24" customHeight="1" x14ac:dyDescent="0.2">
      <c r="A15" s="10" t="s">
        <v>44</v>
      </c>
      <c r="B15" s="10" t="s">
        <v>45</v>
      </c>
      <c r="C15" s="10" t="s">
        <v>26</v>
      </c>
      <c r="D15" s="10" t="s">
        <v>46</v>
      </c>
      <c r="E15" s="11" t="s">
        <v>28</v>
      </c>
      <c r="F15" s="38">
        <v>208</v>
      </c>
      <c r="G15" s="12">
        <v>29.32</v>
      </c>
      <c r="H15" s="12">
        <f>TRUNC(TRUNC(G15 * K5, 2) + G15, 2)</f>
        <v>37.21</v>
      </c>
      <c r="I15" s="27">
        <f t="shared" si="0"/>
        <v>30.66</v>
      </c>
      <c r="J15" s="12">
        <f t="shared" si="1"/>
        <v>6377.28</v>
      </c>
      <c r="K15" s="13">
        <f>J15 / K4</f>
        <v>3.4573122277221868E-2</v>
      </c>
    </row>
    <row r="16" spans="1:11" ht="26.1" customHeight="1" x14ac:dyDescent="0.2">
      <c r="A16" s="10" t="s">
        <v>47</v>
      </c>
      <c r="B16" s="10" t="s">
        <v>48</v>
      </c>
      <c r="C16" s="10" t="s">
        <v>26</v>
      </c>
      <c r="D16" s="10" t="s">
        <v>49</v>
      </c>
      <c r="E16" s="11" t="s">
        <v>28</v>
      </c>
      <c r="F16" s="38">
        <v>208</v>
      </c>
      <c r="G16" s="12">
        <v>21.73</v>
      </c>
      <c r="H16" s="12">
        <f>TRUNC(TRUNC(G16 * K5, 2) + G16, 2)</f>
        <v>27.58</v>
      </c>
      <c r="I16" s="27">
        <f t="shared" si="0"/>
        <v>22.72</v>
      </c>
      <c r="J16" s="12">
        <f t="shared" si="1"/>
        <v>4725.76</v>
      </c>
      <c r="K16" s="13">
        <f>J16 / K4</f>
        <v>2.5619743579206811E-2</v>
      </c>
    </row>
    <row r="17" spans="1:11" ht="26.1" customHeight="1" x14ac:dyDescent="0.2">
      <c r="A17" s="10" t="s">
        <v>50</v>
      </c>
      <c r="B17" s="10" t="s">
        <v>51</v>
      </c>
      <c r="C17" s="10" t="s">
        <v>26</v>
      </c>
      <c r="D17" s="10" t="s">
        <v>52</v>
      </c>
      <c r="E17" s="11" t="s">
        <v>28</v>
      </c>
      <c r="F17" s="38">
        <v>208</v>
      </c>
      <c r="G17" s="12">
        <v>26.22</v>
      </c>
      <c r="H17" s="12">
        <f>TRUNC(TRUNC(G17 * K5, 2) + G17, 2)</f>
        <v>33.28</v>
      </c>
      <c r="I17" s="27">
        <f t="shared" si="0"/>
        <v>27.42</v>
      </c>
      <c r="J17" s="12">
        <f t="shared" si="1"/>
        <v>5703.36</v>
      </c>
      <c r="K17" s="13">
        <f>J17 / K4</f>
        <v>3.091960250624343E-2</v>
      </c>
    </row>
    <row r="18" spans="1:11" ht="24" customHeight="1" x14ac:dyDescent="0.2">
      <c r="A18" s="10" t="s">
        <v>53</v>
      </c>
      <c r="B18" s="10" t="s">
        <v>54</v>
      </c>
      <c r="C18" s="10" t="s">
        <v>26</v>
      </c>
      <c r="D18" s="10" t="s">
        <v>55</v>
      </c>
      <c r="E18" s="11" t="s">
        <v>28</v>
      </c>
      <c r="F18" s="38">
        <v>208</v>
      </c>
      <c r="G18" s="12">
        <v>41.41</v>
      </c>
      <c r="H18" s="12">
        <f>TRUNC(TRUNC(G18 * K5, 2) + G18, 2)</f>
        <v>52.56</v>
      </c>
      <c r="I18" s="27">
        <f t="shared" si="0"/>
        <v>43.3</v>
      </c>
      <c r="J18" s="12">
        <f t="shared" si="1"/>
        <v>9006.4</v>
      </c>
      <c r="K18" s="13">
        <f>J18 / K4</f>
        <v>4.882635990227354E-2</v>
      </c>
    </row>
    <row r="19" spans="1:11" ht="24" customHeight="1" x14ac:dyDescent="0.2">
      <c r="A19" s="10" t="s">
        <v>56</v>
      </c>
      <c r="B19" s="10" t="s">
        <v>57</v>
      </c>
      <c r="C19" s="10" t="s">
        <v>26</v>
      </c>
      <c r="D19" s="10" t="s">
        <v>58</v>
      </c>
      <c r="E19" s="11" t="s">
        <v>28</v>
      </c>
      <c r="F19" s="38">
        <v>208</v>
      </c>
      <c r="G19" s="12">
        <v>26.87</v>
      </c>
      <c r="H19" s="12">
        <f>TRUNC(TRUNC(G19 * K5, 2) + G19, 2)</f>
        <v>34.1</v>
      </c>
      <c r="I19" s="27">
        <f t="shared" si="0"/>
        <v>28.09</v>
      </c>
      <c r="J19" s="12">
        <f t="shared" si="1"/>
        <v>5842.72</v>
      </c>
      <c r="K19" s="13">
        <f>J19 / K4</f>
        <v>3.1675114310735886E-2</v>
      </c>
    </row>
    <row r="20" spans="1:11" ht="26.1" customHeight="1" x14ac:dyDescent="0.2">
      <c r="A20" s="10" t="s">
        <v>59</v>
      </c>
      <c r="B20" s="10" t="s">
        <v>60</v>
      </c>
      <c r="C20" s="10" t="s">
        <v>26</v>
      </c>
      <c r="D20" s="10" t="s">
        <v>61</v>
      </c>
      <c r="E20" s="11" t="s">
        <v>28</v>
      </c>
      <c r="F20" s="38">
        <v>208</v>
      </c>
      <c r="G20" s="12">
        <v>31.19</v>
      </c>
      <c r="H20" s="12">
        <f>TRUNC(TRUNC(G20 * K5, 2) + G20, 2)</f>
        <v>39.58</v>
      </c>
      <c r="I20" s="27">
        <f t="shared" si="0"/>
        <v>32.61</v>
      </c>
      <c r="J20" s="12">
        <f t="shared" si="1"/>
        <v>6782.88</v>
      </c>
      <c r="K20" s="13">
        <f>J20 / K4</f>
        <v>3.6771999917162596E-2</v>
      </c>
    </row>
    <row r="21" spans="1:11" ht="24" customHeight="1" x14ac:dyDescent="0.2">
      <c r="A21" s="10" t="s">
        <v>62</v>
      </c>
      <c r="B21" s="10" t="s">
        <v>63</v>
      </c>
      <c r="C21" s="10" t="s">
        <v>26</v>
      </c>
      <c r="D21" s="10" t="s">
        <v>64</v>
      </c>
      <c r="E21" s="11" t="s">
        <v>28</v>
      </c>
      <c r="F21" s="38">
        <v>832</v>
      </c>
      <c r="G21" s="12">
        <v>21.55</v>
      </c>
      <c r="H21" s="12">
        <f>TRUNC(TRUNC(G21 * K5, 2) + G21, 2)</f>
        <v>27.35</v>
      </c>
      <c r="I21" s="27">
        <f t="shared" si="0"/>
        <v>22.53</v>
      </c>
      <c r="J21" s="12">
        <f t="shared" si="1"/>
        <v>18744.96</v>
      </c>
      <c r="K21" s="13">
        <f>J21 / K4</f>
        <v>0.10162197585202982</v>
      </c>
    </row>
    <row r="22" spans="1:11" ht="26.1" customHeight="1" x14ac:dyDescent="0.2">
      <c r="A22" s="10" t="s">
        <v>65</v>
      </c>
      <c r="B22" s="10" t="s">
        <v>66</v>
      </c>
      <c r="C22" s="10" t="s">
        <v>26</v>
      </c>
      <c r="D22" s="10" t="s">
        <v>67</v>
      </c>
      <c r="E22" s="11" t="s">
        <v>28</v>
      </c>
      <c r="F22" s="38">
        <v>78</v>
      </c>
      <c r="G22" s="12">
        <v>164.09</v>
      </c>
      <c r="H22" s="12">
        <f>TRUNC(TRUNC(G22 * K5, 2) + G22, 2)</f>
        <v>208.27</v>
      </c>
      <c r="I22" s="27">
        <f t="shared" si="0"/>
        <v>171.61</v>
      </c>
      <c r="J22" s="12">
        <f t="shared" si="1"/>
        <v>13385.58</v>
      </c>
      <c r="K22" s="13">
        <f>J22 / K4</f>
        <v>7.256719072888998E-2</v>
      </c>
    </row>
    <row r="23" spans="1:11" ht="24" customHeight="1" x14ac:dyDescent="0.2">
      <c r="A23" s="5" t="s">
        <v>68</v>
      </c>
      <c r="B23" s="5" t="s">
        <v>22</v>
      </c>
      <c r="C23" s="5"/>
      <c r="D23" s="5" t="s">
        <v>69</v>
      </c>
      <c r="E23" s="6"/>
      <c r="F23" s="7"/>
      <c r="G23" s="7"/>
      <c r="H23" s="8"/>
      <c r="I23" s="26"/>
      <c r="J23" s="8">
        <f>SUM(J24:J158)</f>
        <v>68395.87999999999</v>
      </c>
      <c r="K23" s="9">
        <f>J23 / K4</f>
        <v>0.37079430768261601</v>
      </c>
    </row>
    <row r="24" spans="1:11" ht="24" customHeight="1" x14ac:dyDescent="0.2">
      <c r="A24" s="14" t="s">
        <v>70</v>
      </c>
      <c r="B24" s="14" t="s">
        <v>71</v>
      </c>
      <c r="C24" s="14" t="s">
        <v>26</v>
      </c>
      <c r="D24" s="14" t="s">
        <v>72</v>
      </c>
      <c r="E24" s="15" t="s">
        <v>73</v>
      </c>
      <c r="F24" s="16">
        <v>750</v>
      </c>
      <c r="G24" s="17">
        <v>0.9</v>
      </c>
      <c r="H24" s="17">
        <f>TRUNC(TRUNC(G24 * K5, 2) + G24, 2)</f>
        <v>1.1399999999999999</v>
      </c>
      <c r="I24" s="27">
        <f t="shared" ref="I24:I55" si="2">TRUNC(H24-(H24*$K$6),2)</f>
        <v>0.93</v>
      </c>
      <c r="J24" s="12">
        <f t="shared" si="1"/>
        <v>697.5</v>
      </c>
      <c r="K24" s="18">
        <f>J24 / K4</f>
        <v>3.781353929631795E-3</v>
      </c>
    </row>
    <row r="25" spans="1:11" ht="24" customHeight="1" x14ac:dyDescent="0.2">
      <c r="A25" s="14" t="s">
        <v>74</v>
      </c>
      <c r="B25" s="14" t="s">
        <v>75</v>
      </c>
      <c r="C25" s="14" t="s">
        <v>76</v>
      </c>
      <c r="D25" s="14" t="s">
        <v>77</v>
      </c>
      <c r="E25" s="15" t="s">
        <v>73</v>
      </c>
      <c r="F25" s="16">
        <v>45</v>
      </c>
      <c r="G25" s="17">
        <v>1.27</v>
      </c>
      <c r="H25" s="17">
        <f>TRUNC(TRUNC(G25 * K5, 2) + G25, 2)</f>
        <v>1.61</v>
      </c>
      <c r="I25" s="27">
        <f t="shared" si="2"/>
        <v>1.32</v>
      </c>
      <c r="J25" s="12">
        <f t="shared" si="1"/>
        <v>59.4</v>
      </c>
      <c r="K25" s="18">
        <f>J25 / K4</f>
        <v>3.2202497981380444E-4</v>
      </c>
    </row>
    <row r="26" spans="1:11" ht="24" customHeight="1" x14ac:dyDescent="0.2">
      <c r="A26" s="14" t="s">
        <v>78</v>
      </c>
      <c r="B26" s="14" t="s">
        <v>79</v>
      </c>
      <c r="C26" s="14" t="s">
        <v>76</v>
      </c>
      <c r="D26" s="14" t="s">
        <v>80</v>
      </c>
      <c r="E26" s="15" t="s">
        <v>73</v>
      </c>
      <c r="F26" s="16">
        <v>25</v>
      </c>
      <c r="G26" s="17">
        <v>9.1</v>
      </c>
      <c r="H26" s="17">
        <f>TRUNC(TRUNC(G26 * K5, 2) + G26, 2)</f>
        <v>11.55</v>
      </c>
      <c r="I26" s="27">
        <f t="shared" si="2"/>
        <v>9.51</v>
      </c>
      <c r="J26" s="12">
        <f t="shared" si="1"/>
        <v>237.75</v>
      </c>
      <c r="K26" s="18">
        <f>J26 / K4</f>
        <v>1.2889131136486871E-3</v>
      </c>
    </row>
    <row r="27" spans="1:11" ht="24" customHeight="1" x14ac:dyDescent="0.2">
      <c r="A27" s="14" t="s">
        <v>81</v>
      </c>
      <c r="B27" s="14" t="s">
        <v>82</v>
      </c>
      <c r="C27" s="14" t="s">
        <v>76</v>
      </c>
      <c r="D27" s="14" t="s">
        <v>83</v>
      </c>
      <c r="E27" s="15" t="s">
        <v>84</v>
      </c>
      <c r="F27" s="16">
        <v>28</v>
      </c>
      <c r="G27" s="17">
        <v>4.1500000000000004</v>
      </c>
      <c r="H27" s="17">
        <f>TRUNC(TRUNC(G27 * K5, 2) + G27, 2)</f>
        <v>5.26</v>
      </c>
      <c r="I27" s="27">
        <f t="shared" si="2"/>
        <v>4.33</v>
      </c>
      <c r="J27" s="12">
        <f t="shared" si="1"/>
        <v>121.24</v>
      </c>
      <c r="K27" s="18">
        <f>J27 / K4</f>
        <v>6.5727792176137464E-4</v>
      </c>
    </row>
    <row r="28" spans="1:11" ht="39" customHeight="1" x14ac:dyDescent="0.2">
      <c r="A28" s="14" t="s">
        <v>85</v>
      </c>
      <c r="B28" s="14" t="s">
        <v>86</v>
      </c>
      <c r="C28" s="14" t="s">
        <v>26</v>
      </c>
      <c r="D28" s="14" t="s">
        <v>87</v>
      </c>
      <c r="E28" s="15" t="s">
        <v>88</v>
      </c>
      <c r="F28" s="16">
        <v>300</v>
      </c>
      <c r="G28" s="17">
        <v>0.97</v>
      </c>
      <c r="H28" s="17">
        <f>TRUNC(TRUNC(G28 * K5, 2) + G28, 2)</f>
        <v>1.23</v>
      </c>
      <c r="I28" s="27">
        <f t="shared" si="2"/>
        <v>1.01</v>
      </c>
      <c r="J28" s="12">
        <f t="shared" si="1"/>
        <v>303</v>
      </c>
      <c r="K28" s="18">
        <f>J28 / K4</f>
        <v>1.6426526748077905E-3</v>
      </c>
    </row>
    <row r="29" spans="1:11" ht="26.1" customHeight="1" x14ac:dyDescent="0.2">
      <c r="A29" s="14" t="s">
        <v>89</v>
      </c>
      <c r="B29" s="14" t="s">
        <v>90</v>
      </c>
      <c r="C29" s="14" t="s">
        <v>91</v>
      </c>
      <c r="D29" s="14" t="s">
        <v>92</v>
      </c>
      <c r="E29" s="15" t="s">
        <v>93</v>
      </c>
      <c r="F29" s="16">
        <v>4</v>
      </c>
      <c r="G29" s="17">
        <v>143.66999999999999</v>
      </c>
      <c r="H29" s="17">
        <f>TRUNC(TRUNC(G29 * K5, 2) + G29, 2)</f>
        <v>182.36</v>
      </c>
      <c r="I29" s="27">
        <f t="shared" si="2"/>
        <v>150.26</v>
      </c>
      <c r="J29" s="12">
        <f t="shared" si="1"/>
        <v>601.04</v>
      </c>
      <c r="K29" s="18">
        <f>J29 / K4</f>
        <v>3.2584157216715326E-3</v>
      </c>
    </row>
    <row r="30" spans="1:11" ht="26.1" customHeight="1" x14ac:dyDescent="0.2">
      <c r="A30" s="14" t="s">
        <v>94</v>
      </c>
      <c r="B30" s="14" t="s">
        <v>95</v>
      </c>
      <c r="C30" s="14" t="s">
        <v>26</v>
      </c>
      <c r="D30" s="14" t="s">
        <v>96</v>
      </c>
      <c r="E30" s="15" t="s">
        <v>88</v>
      </c>
      <c r="F30" s="16">
        <v>1</v>
      </c>
      <c r="G30" s="17">
        <v>180</v>
      </c>
      <c r="H30" s="17">
        <f>TRUNC(TRUNC(G30 * K5, 2) + G30, 2)</f>
        <v>228.47</v>
      </c>
      <c r="I30" s="27">
        <f t="shared" si="2"/>
        <v>188.25</v>
      </c>
      <c r="J30" s="12">
        <f t="shared" si="1"/>
        <v>188.25</v>
      </c>
      <c r="K30" s="18">
        <f>J30 / K4</f>
        <v>1.0205589638038501E-3</v>
      </c>
    </row>
    <row r="31" spans="1:11" ht="51.95" customHeight="1" x14ac:dyDescent="0.2">
      <c r="A31" s="14" t="s">
        <v>97</v>
      </c>
      <c r="B31" s="14" t="s">
        <v>98</v>
      </c>
      <c r="C31" s="14" t="s">
        <v>26</v>
      </c>
      <c r="D31" s="14" t="s">
        <v>99</v>
      </c>
      <c r="E31" s="15" t="s">
        <v>88</v>
      </c>
      <c r="F31" s="16">
        <v>1</v>
      </c>
      <c r="G31" s="17">
        <v>586.44000000000005</v>
      </c>
      <c r="H31" s="17">
        <f>TRUNC(TRUNC(G31 * K5, 2) + G31, 2)</f>
        <v>744.36</v>
      </c>
      <c r="I31" s="27">
        <f t="shared" si="2"/>
        <v>613.35</v>
      </c>
      <c r="J31" s="12">
        <f t="shared" si="1"/>
        <v>613.35</v>
      </c>
      <c r="K31" s="18">
        <f>J31 / K4</f>
        <v>3.3251518748955719E-3</v>
      </c>
    </row>
    <row r="32" spans="1:11" ht="24" customHeight="1" x14ac:dyDescent="0.2">
      <c r="A32" s="14" t="s">
        <v>100</v>
      </c>
      <c r="B32" s="14" t="s">
        <v>101</v>
      </c>
      <c r="C32" s="14" t="s">
        <v>26</v>
      </c>
      <c r="D32" s="14" t="s">
        <v>102</v>
      </c>
      <c r="E32" s="15" t="s">
        <v>88</v>
      </c>
      <c r="F32" s="16">
        <v>1</v>
      </c>
      <c r="G32" s="17">
        <v>56.81</v>
      </c>
      <c r="H32" s="17">
        <f>TRUNC(TRUNC(G32 * K5, 2) + G32, 2)</f>
        <v>72.099999999999994</v>
      </c>
      <c r="I32" s="27">
        <f t="shared" si="2"/>
        <v>59.41</v>
      </c>
      <c r="J32" s="12">
        <f t="shared" si="1"/>
        <v>59.41</v>
      </c>
      <c r="K32" s="18">
        <f>J32 / K4</f>
        <v>3.2207919277336906E-4</v>
      </c>
    </row>
    <row r="33" spans="1:11" ht="26.1" customHeight="1" x14ac:dyDescent="0.2">
      <c r="A33" s="14" t="s">
        <v>103</v>
      </c>
      <c r="B33" s="14" t="s">
        <v>104</v>
      </c>
      <c r="C33" s="14" t="s">
        <v>26</v>
      </c>
      <c r="D33" s="14" t="s">
        <v>105</v>
      </c>
      <c r="E33" s="15" t="s">
        <v>88</v>
      </c>
      <c r="F33" s="16">
        <v>1</v>
      </c>
      <c r="G33" s="17">
        <v>89.75</v>
      </c>
      <c r="H33" s="17">
        <f>TRUNC(TRUNC(G33 * K5, 2) + G33, 2)</f>
        <v>113.91</v>
      </c>
      <c r="I33" s="27">
        <f t="shared" si="2"/>
        <v>93.86</v>
      </c>
      <c r="J33" s="12">
        <f t="shared" si="1"/>
        <v>93.86</v>
      </c>
      <c r="K33" s="18">
        <f>J33 / K4</f>
        <v>5.0884283847346277E-4</v>
      </c>
    </row>
    <row r="34" spans="1:11" ht="26.1" customHeight="1" x14ac:dyDescent="0.2">
      <c r="A34" s="14" t="s">
        <v>106</v>
      </c>
      <c r="B34" s="14" t="s">
        <v>107</v>
      </c>
      <c r="C34" s="14" t="s">
        <v>76</v>
      </c>
      <c r="D34" s="14" t="s">
        <v>108</v>
      </c>
      <c r="E34" s="15" t="s">
        <v>88</v>
      </c>
      <c r="F34" s="16">
        <v>1</v>
      </c>
      <c r="G34" s="17">
        <v>88.19</v>
      </c>
      <c r="H34" s="17">
        <f>TRUNC(TRUNC(G34 * K5, 2) + G34, 2)</f>
        <v>111.93</v>
      </c>
      <c r="I34" s="27">
        <f t="shared" si="2"/>
        <v>92.23</v>
      </c>
      <c r="J34" s="12">
        <f t="shared" si="1"/>
        <v>92.23</v>
      </c>
      <c r="K34" s="18">
        <f>J34 / K4</f>
        <v>5.0000612606443081E-4</v>
      </c>
    </row>
    <row r="35" spans="1:11" ht="26.1" customHeight="1" x14ac:dyDescent="0.2">
      <c r="A35" s="14" t="s">
        <v>109</v>
      </c>
      <c r="B35" s="14" t="s">
        <v>110</v>
      </c>
      <c r="C35" s="14" t="s">
        <v>76</v>
      </c>
      <c r="D35" s="14" t="s">
        <v>111</v>
      </c>
      <c r="E35" s="15" t="s">
        <v>88</v>
      </c>
      <c r="F35" s="16">
        <v>1</v>
      </c>
      <c r="G35" s="17">
        <v>84.49</v>
      </c>
      <c r="H35" s="17">
        <f>TRUNC(TRUNC(G35 * K5, 2) + G35, 2)</f>
        <v>107.24</v>
      </c>
      <c r="I35" s="27">
        <f t="shared" si="2"/>
        <v>88.36</v>
      </c>
      <c r="J35" s="12">
        <f t="shared" si="1"/>
        <v>88.36</v>
      </c>
      <c r="K35" s="18">
        <f>J35 / K4</f>
        <v>4.7902571071292531E-4</v>
      </c>
    </row>
    <row r="36" spans="1:11" ht="26.1" customHeight="1" x14ac:dyDescent="0.2">
      <c r="A36" s="14" t="s">
        <v>112</v>
      </c>
      <c r="B36" s="14" t="s">
        <v>113</v>
      </c>
      <c r="C36" s="14" t="s">
        <v>91</v>
      </c>
      <c r="D36" s="14" t="s">
        <v>114</v>
      </c>
      <c r="E36" s="15" t="s">
        <v>115</v>
      </c>
      <c r="F36" s="16">
        <v>22</v>
      </c>
      <c r="G36" s="17">
        <v>195</v>
      </c>
      <c r="H36" s="17">
        <f>TRUNC(TRUNC(G36 * K5, 2) + G36, 2)</f>
        <v>247.51</v>
      </c>
      <c r="I36" s="27">
        <f t="shared" si="2"/>
        <v>203.94</v>
      </c>
      <c r="J36" s="12">
        <f t="shared" si="1"/>
        <v>4486.68</v>
      </c>
      <c r="K36" s="18">
        <f>J36 / K4</f>
        <v>2.4323620141936033E-2</v>
      </c>
    </row>
    <row r="37" spans="1:11" ht="26.1" customHeight="1" x14ac:dyDescent="0.2">
      <c r="A37" s="14" t="s">
        <v>116</v>
      </c>
      <c r="B37" s="14" t="s">
        <v>117</v>
      </c>
      <c r="C37" s="14" t="s">
        <v>91</v>
      </c>
      <c r="D37" s="14" t="s">
        <v>118</v>
      </c>
      <c r="E37" s="15" t="s">
        <v>115</v>
      </c>
      <c r="F37" s="16">
        <v>28</v>
      </c>
      <c r="G37" s="17">
        <v>195</v>
      </c>
      <c r="H37" s="17">
        <f>TRUNC(TRUNC(G37 * K5, 2) + G37, 2)</f>
        <v>247.51</v>
      </c>
      <c r="I37" s="27">
        <f t="shared" si="2"/>
        <v>203.94</v>
      </c>
      <c r="J37" s="12">
        <f t="shared" si="1"/>
        <v>5710.32</v>
      </c>
      <c r="K37" s="18">
        <f>J37 / K4</f>
        <v>3.0957334726100402E-2</v>
      </c>
    </row>
    <row r="38" spans="1:11" ht="39" customHeight="1" x14ac:dyDescent="0.2">
      <c r="A38" s="14" t="s">
        <v>119</v>
      </c>
      <c r="B38" s="14" t="s">
        <v>120</v>
      </c>
      <c r="C38" s="14" t="s">
        <v>91</v>
      </c>
      <c r="D38" s="14" t="s">
        <v>121</v>
      </c>
      <c r="E38" s="15" t="s">
        <v>93</v>
      </c>
      <c r="F38" s="16">
        <v>3</v>
      </c>
      <c r="G38" s="17">
        <v>1190.5899999999999</v>
      </c>
      <c r="H38" s="17">
        <f>TRUNC(TRUNC(G38 * K5, 2) + G38, 2)</f>
        <v>1511.21</v>
      </c>
      <c r="I38" s="27">
        <f t="shared" si="2"/>
        <v>1245.23</v>
      </c>
      <c r="J38" s="12">
        <f t="shared" si="1"/>
        <v>3735.69</v>
      </c>
      <c r="K38" s="18">
        <f>J38 / K4</f>
        <v>2.0252281091593119E-2</v>
      </c>
    </row>
    <row r="39" spans="1:11" ht="26.1" customHeight="1" x14ac:dyDescent="0.2">
      <c r="A39" s="14" t="s">
        <v>122</v>
      </c>
      <c r="B39" s="14" t="s">
        <v>123</v>
      </c>
      <c r="C39" s="14" t="s">
        <v>76</v>
      </c>
      <c r="D39" s="14" t="s">
        <v>124</v>
      </c>
      <c r="E39" s="15" t="s">
        <v>88</v>
      </c>
      <c r="F39" s="16">
        <v>1</v>
      </c>
      <c r="G39" s="17">
        <v>470</v>
      </c>
      <c r="H39" s="17">
        <f>TRUNC(TRUNC(G39 * K5, 2) + G39, 2)</f>
        <v>596.57000000000005</v>
      </c>
      <c r="I39" s="27">
        <f t="shared" si="2"/>
        <v>491.57</v>
      </c>
      <c r="J39" s="12">
        <f t="shared" si="1"/>
        <v>491.57</v>
      </c>
      <c r="K39" s="18">
        <f>J39 / K4</f>
        <v>2.6649464533177081E-3</v>
      </c>
    </row>
    <row r="40" spans="1:11" ht="39" customHeight="1" x14ac:dyDescent="0.2">
      <c r="A40" s="14" t="s">
        <v>125</v>
      </c>
      <c r="B40" s="14" t="s">
        <v>126</v>
      </c>
      <c r="C40" s="14" t="s">
        <v>26</v>
      </c>
      <c r="D40" s="14" t="s">
        <v>127</v>
      </c>
      <c r="E40" s="15" t="s">
        <v>88</v>
      </c>
      <c r="F40" s="16">
        <v>3</v>
      </c>
      <c r="G40" s="17">
        <v>44.74</v>
      </c>
      <c r="H40" s="17">
        <f>TRUNC(TRUNC(G40 * K5, 2) + G40, 2)</f>
        <v>56.78</v>
      </c>
      <c r="I40" s="27">
        <f t="shared" si="2"/>
        <v>46.78</v>
      </c>
      <c r="J40" s="12">
        <f t="shared" si="1"/>
        <v>140.34</v>
      </c>
      <c r="K40" s="18">
        <f>J40 / K4</f>
        <v>7.6082467452978652E-4</v>
      </c>
    </row>
    <row r="41" spans="1:11" ht="24" customHeight="1" x14ac:dyDescent="0.2">
      <c r="A41" s="14" t="s">
        <v>128</v>
      </c>
      <c r="B41" s="14" t="s">
        <v>129</v>
      </c>
      <c r="C41" s="14" t="s">
        <v>26</v>
      </c>
      <c r="D41" s="14" t="s">
        <v>130</v>
      </c>
      <c r="E41" s="15" t="s">
        <v>88</v>
      </c>
      <c r="F41" s="16">
        <v>2</v>
      </c>
      <c r="G41" s="17">
        <v>67.17</v>
      </c>
      <c r="H41" s="17">
        <f>TRUNC(TRUNC(G41 * K5, 2) + G41, 2)</f>
        <v>85.25</v>
      </c>
      <c r="I41" s="27">
        <f t="shared" si="2"/>
        <v>70.239999999999995</v>
      </c>
      <c r="J41" s="12">
        <f t="shared" si="1"/>
        <v>140.47999999999999</v>
      </c>
      <c r="K41" s="18">
        <f>J41 / K4</f>
        <v>7.6158365596369106E-4</v>
      </c>
    </row>
    <row r="42" spans="1:11" ht="39" customHeight="1" x14ac:dyDescent="0.2">
      <c r="A42" s="14" t="s">
        <v>131</v>
      </c>
      <c r="B42" s="14" t="s">
        <v>132</v>
      </c>
      <c r="C42" s="14" t="s">
        <v>26</v>
      </c>
      <c r="D42" s="14" t="s">
        <v>133</v>
      </c>
      <c r="E42" s="15" t="s">
        <v>88</v>
      </c>
      <c r="F42" s="16">
        <v>2</v>
      </c>
      <c r="G42" s="17">
        <v>9.98</v>
      </c>
      <c r="H42" s="17">
        <f>TRUNC(TRUNC(G42 * K5, 2) + G42, 2)</f>
        <v>12.66</v>
      </c>
      <c r="I42" s="27">
        <f t="shared" si="2"/>
        <v>10.43</v>
      </c>
      <c r="J42" s="12">
        <f t="shared" si="1"/>
        <v>20.86</v>
      </c>
      <c r="K42" s="18">
        <f>J42 / K4</f>
        <v>1.1308823365178386E-4</v>
      </c>
    </row>
    <row r="43" spans="1:11" ht="26.1" customHeight="1" x14ac:dyDescent="0.2">
      <c r="A43" s="14" t="s">
        <v>134</v>
      </c>
      <c r="B43" s="14" t="s">
        <v>135</v>
      </c>
      <c r="C43" s="14" t="s">
        <v>26</v>
      </c>
      <c r="D43" s="14" t="s">
        <v>136</v>
      </c>
      <c r="E43" s="15" t="s">
        <v>88</v>
      </c>
      <c r="F43" s="16">
        <v>1</v>
      </c>
      <c r="G43" s="17">
        <v>31.73</v>
      </c>
      <c r="H43" s="17">
        <f>TRUNC(TRUNC(G43 * K5, 2) + G43, 2)</f>
        <v>40.270000000000003</v>
      </c>
      <c r="I43" s="27">
        <f t="shared" si="2"/>
        <v>33.18</v>
      </c>
      <c r="J43" s="12">
        <f t="shared" si="1"/>
        <v>33.18</v>
      </c>
      <c r="K43" s="18">
        <f>J43 / K4</f>
        <v>1.7987859983538776E-4</v>
      </c>
    </row>
    <row r="44" spans="1:11" ht="24" customHeight="1" x14ac:dyDescent="0.2">
      <c r="A44" s="14" t="s">
        <v>137</v>
      </c>
      <c r="B44" s="14" t="s">
        <v>138</v>
      </c>
      <c r="C44" s="14" t="s">
        <v>26</v>
      </c>
      <c r="D44" s="14" t="s">
        <v>139</v>
      </c>
      <c r="E44" s="15" t="s">
        <v>140</v>
      </c>
      <c r="F44" s="16">
        <v>18</v>
      </c>
      <c r="G44" s="17">
        <v>21.78</v>
      </c>
      <c r="H44" s="17">
        <f>TRUNC(TRUNC(G44 * K5, 2) + G44, 2)</f>
        <v>27.64</v>
      </c>
      <c r="I44" s="27">
        <f t="shared" si="2"/>
        <v>22.77</v>
      </c>
      <c r="J44" s="12">
        <f t="shared" si="1"/>
        <v>409.86</v>
      </c>
      <c r="K44" s="18">
        <f>J44 / K4</f>
        <v>2.2219723607152511E-3</v>
      </c>
    </row>
    <row r="45" spans="1:11" ht="24" customHeight="1" x14ac:dyDescent="0.2">
      <c r="A45" s="14" t="s">
        <v>141</v>
      </c>
      <c r="B45" s="14" t="s">
        <v>142</v>
      </c>
      <c r="C45" s="14" t="s">
        <v>143</v>
      </c>
      <c r="D45" s="14" t="s">
        <v>144</v>
      </c>
      <c r="E45" s="15" t="s">
        <v>93</v>
      </c>
      <c r="F45" s="16">
        <v>1</v>
      </c>
      <c r="G45" s="17">
        <v>9.6999999999999993</v>
      </c>
      <c r="H45" s="17">
        <f>TRUNC(TRUNC(G45 * K5, 2) + G45, 2)</f>
        <v>12.31</v>
      </c>
      <c r="I45" s="27">
        <f t="shared" si="2"/>
        <v>10.14</v>
      </c>
      <c r="J45" s="12">
        <f t="shared" si="1"/>
        <v>10.14</v>
      </c>
      <c r="K45" s="18">
        <f>J45 / K4</f>
        <v>5.497194099851814E-5</v>
      </c>
    </row>
    <row r="46" spans="1:11" ht="26.1" customHeight="1" x14ac:dyDescent="0.2">
      <c r="A46" s="14" t="s">
        <v>145</v>
      </c>
      <c r="B46" s="14" t="s">
        <v>146</v>
      </c>
      <c r="C46" s="14" t="s">
        <v>26</v>
      </c>
      <c r="D46" s="14" t="s">
        <v>147</v>
      </c>
      <c r="E46" s="15" t="s">
        <v>88</v>
      </c>
      <c r="F46" s="16">
        <v>1</v>
      </c>
      <c r="G46" s="17">
        <v>22.97</v>
      </c>
      <c r="H46" s="17">
        <f>TRUNC(TRUNC(G46 * K5, 2) + G46, 2)</f>
        <v>29.15</v>
      </c>
      <c r="I46" s="27">
        <f t="shared" si="2"/>
        <v>24.01</v>
      </c>
      <c r="J46" s="12">
        <f t="shared" si="1"/>
        <v>24.01</v>
      </c>
      <c r="K46" s="18">
        <f>J46 / K4</f>
        <v>1.3016531591463713E-4</v>
      </c>
    </row>
    <row r="47" spans="1:11" ht="26.1" customHeight="1" x14ac:dyDescent="0.2">
      <c r="A47" s="14" t="s">
        <v>148</v>
      </c>
      <c r="B47" s="14" t="s">
        <v>149</v>
      </c>
      <c r="C47" s="14" t="s">
        <v>91</v>
      </c>
      <c r="D47" s="14" t="s">
        <v>150</v>
      </c>
      <c r="E47" s="15" t="s">
        <v>93</v>
      </c>
      <c r="F47" s="16">
        <v>1</v>
      </c>
      <c r="G47" s="17">
        <v>250.84</v>
      </c>
      <c r="H47" s="17">
        <f>TRUNC(TRUNC(G47 * K5, 2) + G47, 2)</f>
        <v>318.39</v>
      </c>
      <c r="I47" s="27">
        <f t="shared" si="2"/>
        <v>262.35000000000002</v>
      </c>
      <c r="J47" s="12">
        <f t="shared" si="1"/>
        <v>262.35000000000002</v>
      </c>
      <c r="K47" s="18">
        <f>J47 / K4</f>
        <v>1.4222769941776366E-3</v>
      </c>
    </row>
    <row r="48" spans="1:11" ht="24" customHeight="1" x14ac:dyDescent="0.2">
      <c r="A48" s="14" t="s">
        <v>151</v>
      </c>
      <c r="B48" s="14" t="s">
        <v>152</v>
      </c>
      <c r="C48" s="14" t="s">
        <v>153</v>
      </c>
      <c r="D48" s="14" t="s">
        <v>154</v>
      </c>
      <c r="E48" s="15" t="s">
        <v>88</v>
      </c>
      <c r="F48" s="16">
        <v>6</v>
      </c>
      <c r="G48" s="17">
        <v>0.42</v>
      </c>
      <c r="H48" s="17">
        <f>TRUNC(TRUNC(G48 * K5, 2) + G48, 2)</f>
        <v>0.53</v>
      </c>
      <c r="I48" s="27">
        <f t="shared" si="2"/>
        <v>0.43</v>
      </c>
      <c r="J48" s="12">
        <f t="shared" si="1"/>
        <v>2.58</v>
      </c>
      <c r="K48" s="18">
        <f>J48 / K4</f>
        <v>1.3986943567670296E-5</v>
      </c>
    </row>
    <row r="49" spans="1:11" ht="26.1" customHeight="1" x14ac:dyDescent="0.2">
      <c r="A49" s="14" t="s">
        <v>155</v>
      </c>
      <c r="B49" s="14" t="s">
        <v>156</v>
      </c>
      <c r="C49" s="14" t="s">
        <v>76</v>
      </c>
      <c r="D49" s="14" t="s">
        <v>157</v>
      </c>
      <c r="E49" s="15" t="s">
        <v>88</v>
      </c>
      <c r="F49" s="16">
        <v>1</v>
      </c>
      <c r="G49" s="17">
        <v>156.59</v>
      </c>
      <c r="H49" s="17">
        <f>TRUNC(TRUNC(G49 * K5, 2) + G49, 2)</f>
        <v>198.75</v>
      </c>
      <c r="I49" s="27">
        <f t="shared" si="2"/>
        <v>163.77000000000001</v>
      </c>
      <c r="J49" s="12">
        <f t="shared" si="1"/>
        <v>163.77000000000001</v>
      </c>
      <c r="K49" s="18">
        <f>J49 / K4</f>
        <v>8.8784563878967617E-4</v>
      </c>
    </row>
    <row r="50" spans="1:11" ht="24" customHeight="1" x14ac:dyDescent="0.2">
      <c r="A50" s="14" t="s">
        <v>158</v>
      </c>
      <c r="B50" s="14" t="s">
        <v>159</v>
      </c>
      <c r="C50" s="14" t="s">
        <v>153</v>
      </c>
      <c r="D50" s="14" t="s">
        <v>160</v>
      </c>
      <c r="E50" s="15" t="s">
        <v>88</v>
      </c>
      <c r="F50" s="16">
        <v>8</v>
      </c>
      <c r="G50" s="17">
        <v>0.67</v>
      </c>
      <c r="H50" s="17">
        <f>TRUNC(TRUNC(G50 * K5, 2) + G50, 2)</f>
        <v>0.85</v>
      </c>
      <c r="I50" s="27">
        <f t="shared" si="2"/>
        <v>0.7</v>
      </c>
      <c r="J50" s="12">
        <f t="shared" si="1"/>
        <v>5.6</v>
      </c>
      <c r="K50" s="18">
        <f>J50 / K4</f>
        <v>3.0359257356183583E-5</v>
      </c>
    </row>
    <row r="51" spans="1:11" ht="26.1" customHeight="1" x14ac:dyDescent="0.2">
      <c r="A51" s="14" t="s">
        <v>161</v>
      </c>
      <c r="B51" s="14" t="s">
        <v>162</v>
      </c>
      <c r="C51" s="14" t="s">
        <v>163</v>
      </c>
      <c r="D51" s="14" t="s">
        <v>164</v>
      </c>
      <c r="E51" s="15" t="s">
        <v>88</v>
      </c>
      <c r="F51" s="16">
        <v>1</v>
      </c>
      <c r="G51" s="17">
        <v>29.41</v>
      </c>
      <c r="H51" s="17">
        <f>TRUNC(TRUNC(G51 * K5, 2) + G51, 2)</f>
        <v>37.33</v>
      </c>
      <c r="I51" s="27">
        <f t="shared" si="2"/>
        <v>30.75</v>
      </c>
      <c r="J51" s="12">
        <f t="shared" si="1"/>
        <v>30.75</v>
      </c>
      <c r="K51" s="18">
        <f>J51 / K4</f>
        <v>1.6670485066118667E-4</v>
      </c>
    </row>
    <row r="52" spans="1:11" ht="39" customHeight="1" x14ac:dyDescent="0.2">
      <c r="A52" s="14" t="s">
        <v>165</v>
      </c>
      <c r="B52" s="14" t="s">
        <v>166</v>
      </c>
      <c r="C52" s="14" t="s">
        <v>167</v>
      </c>
      <c r="D52" s="14" t="s">
        <v>168</v>
      </c>
      <c r="E52" s="15" t="s">
        <v>88</v>
      </c>
      <c r="F52" s="16">
        <v>1</v>
      </c>
      <c r="G52" s="17">
        <v>92.34</v>
      </c>
      <c r="H52" s="17">
        <f>TRUNC(TRUNC(G52 * K5, 2) + G52, 2)</f>
        <v>117.2</v>
      </c>
      <c r="I52" s="27">
        <f t="shared" si="2"/>
        <v>96.57</v>
      </c>
      <c r="J52" s="12">
        <f t="shared" si="1"/>
        <v>96.57</v>
      </c>
      <c r="K52" s="18">
        <f>J52 / K4</f>
        <v>5.2353455051547303E-4</v>
      </c>
    </row>
    <row r="53" spans="1:11" ht="39" customHeight="1" x14ac:dyDescent="0.2">
      <c r="A53" s="14" t="s">
        <v>169</v>
      </c>
      <c r="B53" s="14" t="s">
        <v>170</v>
      </c>
      <c r="C53" s="14" t="s">
        <v>167</v>
      </c>
      <c r="D53" s="14" t="s">
        <v>171</v>
      </c>
      <c r="E53" s="15" t="s">
        <v>88</v>
      </c>
      <c r="F53" s="16">
        <v>1</v>
      </c>
      <c r="G53" s="17">
        <v>10</v>
      </c>
      <c r="H53" s="17">
        <f>TRUNC(TRUNC(G53 * K5, 2) + G53, 2)</f>
        <v>12.69</v>
      </c>
      <c r="I53" s="27">
        <f t="shared" si="2"/>
        <v>10.45</v>
      </c>
      <c r="J53" s="12">
        <f t="shared" si="1"/>
        <v>10.45</v>
      </c>
      <c r="K53" s="18">
        <f>J53 / K4</f>
        <v>5.6652542745021153E-5</v>
      </c>
    </row>
    <row r="54" spans="1:11" ht="24" customHeight="1" x14ac:dyDescent="0.2">
      <c r="A54" s="14" t="s">
        <v>172</v>
      </c>
      <c r="B54" s="14" t="s">
        <v>173</v>
      </c>
      <c r="C54" s="14" t="s">
        <v>91</v>
      </c>
      <c r="D54" s="14" t="s">
        <v>174</v>
      </c>
      <c r="E54" s="15" t="s">
        <v>93</v>
      </c>
      <c r="F54" s="16">
        <v>1</v>
      </c>
      <c r="G54" s="17">
        <v>37.700000000000003</v>
      </c>
      <c r="H54" s="17">
        <f>TRUNC(TRUNC(G54 * K5, 2) + G54, 2)</f>
        <v>47.85</v>
      </c>
      <c r="I54" s="27">
        <f t="shared" si="2"/>
        <v>39.42</v>
      </c>
      <c r="J54" s="12">
        <f t="shared" si="1"/>
        <v>39.42</v>
      </c>
      <c r="K54" s="18">
        <f>J54 / K4</f>
        <v>2.1370748660370662E-4</v>
      </c>
    </row>
    <row r="55" spans="1:11" ht="24" customHeight="1" x14ac:dyDescent="0.2">
      <c r="A55" s="14" t="s">
        <v>175</v>
      </c>
      <c r="B55" s="14" t="s">
        <v>176</v>
      </c>
      <c r="C55" s="14" t="s">
        <v>26</v>
      </c>
      <c r="D55" s="14" t="s">
        <v>177</v>
      </c>
      <c r="E55" s="15" t="s">
        <v>88</v>
      </c>
      <c r="F55" s="16">
        <v>3</v>
      </c>
      <c r="G55" s="17">
        <v>17.53</v>
      </c>
      <c r="H55" s="17">
        <f>TRUNC(TRUNC(G55 * K5, 2) + G55, 2)</f>
        <v>22.25</v>
      </c>
      <c r="I55" s="27">
        <f t="shared" si="2"/>
        <v>18.329999999999998</v>
      </c>
      <c r="J55" s="12">
        <f t="shared" si="1"/>
        <v>54.99</v>
      </c>
      <c r="K55" s="18">
        <f>J55 / K4</f>
        <v>2.981170646458099E-4</v>
      </c>
    </row>
    <row r="56" spans="1:11" ht="26.1" customHeight="1" x14ac:dyDescent="0.2">
      <c r="A56" s="14" t="s">
        <v>178</v>
      </c>
      <c r="B56" s="14" t="s">
        <v>146</v>
      </c>
      <c r="C56" s="14" t="s">
        <v>26</v>
      </c>
      <c r="D56" s="14" t="s">
        <v>147</v>
      </c>
      <c r="E56" s="15" t="s">
        <v>88</v>
      </c>
      <c r="F56" s="16">
        <v>1</v>
      </c>
      <c r="G56" s="17">
        <v>22.97</v>
      </c>
      <c r="H56" s="17">
        <f>TRUNC(TRUNC(G56 * K5, 2) + G56, 2)</f>
        <v>29.15</v>
      </c>
      <c r="I56" s="27">
        <f t="shared" ref="I56:I87" si="3">TRUNC(H56-(H56*$K$6),2)</f>
        <v>24.01</v>
      </c>
      <c r="J56" s="12">
        <f t="shared" si="1"/>
        <v>24.01</v>
      </c>
      <c r="K56" s="18">
        <f>J56 / K4</f>
        <v>1.3016531591463713E-4</v>
      </c>
    </row>
    <row r="57" spans="1:11" ht="24" customHeight="1" x14ac:dyDescent="0.2">
      <c r="A57" s="14" t="s">
        <v>179</v>
      </c>
      <c r="B57" s="14" t="s">
        <v>180</v>
      </c>
      <c r="C57" s="14" t="s">
        <v>143</v>
      </c>
      <c r="D57" s="14" t="s">
        <v>181</v>
      </c>
      <c r="E57" s="15" t="s">
        <v>182</v>
      </c>
      <c r="F57" s="16">
        <v>4</v>
      </c>
      <c r="G57" s="17">
        <v>12.76</v>
      </c>
      <c r="H57" s="17">
        <f>TRUNC(TRUNC(G57 * K5, 2) + G57, 2)</f>
        <v>16.190000000000001</v>
      </c>
      <c r="I57" s="27">
        <f t="shared" si="3"/>
        <v>13.34</v>
      </c>
      <c r="J57" s="12">
        <f t="shared" si="1"/>
        <v>53.36</v>
      </c>
      <c r="K57" s="18">
        <f>J57 / K4</f>
        <v>2.8928035223677788E-4</v>
      </c>
    </row>
    <row r="58" spans="1:11" ht="24" customHeight="1" x14ac:dyDescent="0.2">
      <c r="A58" s="14" t="s">
        <v>183</v>
      </c>
      <c r="B58" s="14" t="s">
        <v>184</v>
      </c>
      <c r="C58" s="14" t="s">
        <v>91</v>
      </c>
      <c r="D58" s="14" t="s">
        <v>185</v>
      </c>
      <c r="E58" s="15" t="s">
        <v>186</v>
      </c>
      <c r="F58" s="16">
        <v>6</v>
      </c>
      <c r="G58" s="17">
        <v>26.76</v>
      </c>
      <c r="H58" s="17">
        <f>TRUNC(TRUNC(G58 * K5, 2) + G58, 2)</f>
        <v>33.96</v>
      </c>
      <c r="I58" s="27">
        <f t="shared" si="3"/>
        <v>27.98</v>
      </c>
      <c r="J58" s="12">
        <f t="shared" si="1"/>
        <v>167.88</v>
      </c>
      <c r="K58" s="18">
        <f>J58 / K4</f>
        <v>9.1012716517073218E-4</v>
      </c>
    </row>
    <row r="59" spans="1:11" ht="26.1" customHeight="1" x14ac:dyDescent="0.2">
      <c r="A59" s="14" t="s">
        <v>187</v>
      </c>
      <c r="B59" s="14" t="s">
        <v>188</v>
      </c>
      <c r="C59" s="14" t="s">
        <v>26</v>
      </c>
      <c r="D59" s="14" t="s">
        <v>189</v>
      </c>
      <c r="E59" s="15" t="s">
        <v>88</v>
      </c>
      <c r="F59" s="16">
        <v>1</v>
      </c>
      <c r="G59" s="17">
        <v>730.07</v>
      </c>
      <c r="H59" s="17">
        <f>TRUNC(TRUNC(G59 * K5, 2) + G59, 2)</f>
        <v>926.67</v>
      </c>
      <c r="I59" s="27">
        <f t="shared" si="3"/>
        <v>763.57</v>
      </c>
      <c r="J59" s="12">
        <f t="shared" si="1"/>
        <v>763.57</v>
      </c>
      <c r="K59" s="18">
        <f>J59 / K4</f>
        <v>4.1395389534751971E-3</v>
      </c>
    </row>
    <row r="60" spans="1:11" ht="26.1" customHeight="1" x14ac:dyDescent="0.2">
      <c r="A60" s="14" t="s">
        <v>190</v>
      </c>
      <c r="B60" s="14" t="s">
        <v>191</v>
      </c>
      <c r="C60" s="14" t="s">
        <v>76</v>
      </c>
      <c r="D60" s="14" t="s">
        <v>192</v>
      </c>
      <c r="E60" s="15" t="s">
        <v>88</v>
      </c>
      <c r="F60" s="16">
        <v>6</v>
      </c>
      <c r="G60" s="17">
        <v>23.37</v>
      </c>
      <c r="H60" s="17">
        <f>TRUNC(TRUNC(G60 * K5, 2) + G60, 2)</f>
        <v>29.66</v>
      </c>
      <c r="I60" s="27">
        <f t="shared" si="3"/>
        <v>24.43</v>
      </c>
      <c r="J60" s="12">
        <f t="shared" si="1"/>
        <v>146.58000000000001</v>
      </c>
      <c r="K60" s="18">
        <f>J60 / K4</f>
        <v>7.9465356129810542E-4</v>
      </c>
    </row>
    <row r="61" spans="1:11" ht="24" customHeight="1" x14ac:dyDescent="0.2">
      <c r="A61" s="14" t="s">
        <v>193</v>
      </c>
      <c r="B61" s="14" t="s">
        <v>194</v>
      </c>
      <c r="C61" s="14" t="s">
        <v>195</v>
      </c>
      <c r="D61" s="14" t="s">
        <v>196</v>
      </c>
      <c r="E61" s="15" t="s">
        <v>93</v>
      </c>
      <c r="F61" s="16">
        <v>1</v>
      </c>
      <c r="G61" s="17">
        <v>33.25</v>
      </c>
      <c r="H61" s="17">
        <f>TRUNC(TRUNC(G61 * K5, 2) + G61, 2)</f>
        <v>42.2</v>
      </c>
      <c r="I61" s="27">
        <f t="shared" si="3"/>
        <v>34.770000000000003</v>
      </c>
      <c r="J61" s="12">
        <f t="shared" si="1"/>
        <v>34.770000000000003</v>
      </c>
      <c r="K61" s="18">
        <f>J61 / K4</f>
        <v>1.8849846040616133E-4</v>
      </c>
    </row>
    <row r="62" spans="1:11" ht="26.1" customHeight="1" x14ac:dyDescent="0.2">
      <c r="A62" s="14" t="s">
        <v>197</v>
      </c>
      <c r="B62" s="14" t="s">
        <v>198</v>
      </c>
      <c r="C62" s="14" t="s">
        <v>91</v>
      </c>
      <c r="D62" s="14" t="s">
        <v>199</v>
      </c>
      <c r="E62" s="15" t="s">
        <v>186</v>
      </c>
      <c r="F62" s="16">
        <v>1.6</v>
      </c>
      <c r="G62" s="17">
        <v>92.14</v>
      </c>
      <c r="H62" s="17">
        <f>TRUNC(TRUNC(G62 * K5, 2) + G62, 2)</f>
        <v>116.95</v>
      </c>
      <c r="I62" s="27">
        <f t="shared" si="3"/>
        <v>96.36</v>
      </c>
      <c r="J62" s="12">
        <f t="shared" si="1"/>
        <v>154.16999999999999</v>
      </c>
      <c r="K62" s="18">
        <f>J62 / K4</f>
        <v>8.3580119760764699E-4</v>
      </c>
    </row>
    <row r="63" spans="1:11" ht="26.1" customHeight="1" x14ac:dyDescent="0.2">
      <c r="A63" s="14" t="s">
        <v>200</v>
      </c>
      <c r="B63" s="14" t="s">
        <v>201</v>
      </c>
      <c r="C63" s="14" t="s">
        <v>26</v>
      </c>
      <c r="D63" s="14" t="s">
        <v>202</v>
      </c>
      <c r="E63" s="15" t="s">
        <v>88</v>
      </c>
      <c r="F63" s="16">
        <v>1</v>
      </c>
      <c r="G63" s="17">
        <v>58.96</v>
      </c>
      <c r="H63" s="17">
        <f>TRUNC(TRUNC(G63 * K5, 2) + G63, 2)</f>
        <v>74.83</v>
      </c>
      <c r="I63" s="27">
        <f t="shared" si="3"/>
        <v>61.65</v>
      </c>
      <c r="J63" s="12">
        <f t="shared" si="1"/>
        <v>61.65</v>
      </c>
      <c r="K63" s="18">
        <f>J63 / K4</f>
        <v>3.3422289571584249E-4</v>
      </c>
    </row>
    <row r="64" spans="1:11" ht="24" customHeight="1" x14ac:dyDescent="0.2">
      <c r="A64" s="14" t="s">
        <v>203</v>
      </c>
      <c r="B64" s="14" t="s">
        <v>204</v>
      </c>
      <c r="C64" s="14" t="s">
        <v>91</v>
      </c>
      <c r="D64" s="14" t="s">
        <v>205</v>
      </c>
      <c r="E64" s="15" t="s">
        <v>93</v>
      </c>
      <c r="F64" s="16">
        <v>1</v>
      </c>
      <c r="G64" s="17">
        <v>26.99</v>
      </c>
      <c r="H64" s="17">
        <f>TRUNC(TRUNC(G64 * K5, 2) + G64, 2)</f>
        <v>34.25</v>
      </c>
      <c r="I64" s="27">
        <f t="shared" si="3"/>
        <v>28.22</v>
      </c>
      <c r="J64" s="12">
        <f t="shared" si="1"/>
        <v>28.22</v>
      </c>
      <c r="K64" s="18">
        <f>J64 / K4</f>
        <v>1.5298897189133941E-4</v>
      </c>
    </row>
    <row r="65" spans="1:11" ht="24" customHeight="1" x14ac:dyDescent="0.2">
      <c r="A65" s="14" t="s">
        <v>206</v>
      </c>
      <c r="B65" s="14" t="s">
        <v>207</v>
      </c>
      <c r="C65" s="14" t="s">
        <v>76</v>
      </c>
      <c r="D65" s="14" t="s">
        <v>208</v>
      </c>
      <c r="E65" s="15" t="s">
        <v>84</v>
      </c>
      <c r="F65" s="16">
        <v>2</v>
      </c>
      <c r="G65" s="17">
        <v>15.31</v>
      </c>
      <c r="H65" s="17">
        <f>TRUNC(TRUNC(G65 * K5, 2) + G65, 2)</f>
        <v>19.43</v>
      </c>
      <c r="I65" s="27">
        <f t="shared" si="3"/>
        <v>16.010000000000002</v>
      </c>
      <c r="J65" s="12">
        <f t="shared" si="1"/>
        <v>32.020000000000003</v>
      </c>
      <c r="K65" s="18">
        <f>J65 / K4</f>
        <v>1.7358989652589259E-4</v>
      </c>
    </row>
    <row r="66" spans="1:11" ht="24" customHeight="1" x14ac:dyDescent="0.2">
      <c r="A66" s="14" t="s">
        <v>209</v>
      </c>
      <c r="B66" s="14" t="s">
        <v>210</v>
      </c>
      <c r="C66" s="14" t="s">
        <v>76</v>
      </c>
      <c r="D66" s="14" t="s">
        <v>211</v>
      </c>
      <c r="E66" s="15" t="s">
        <v>88</v>
      </c>
      <c r="F66" s="16">
        <v>4</v>
      </c>
      <c r="G66" s="17">
        <v>5.9</v>
      </c>
      <c r="H66" s="17">
        <f>TRUNC(TRUNC(G66 * K5, 2) + G66, 2)</f>
        <v>7.48</v>
      </c>
      <c r="I66" s="27">
        <f t="shared" si="3"/>
        <v>6.16</v>
      </c>
      <c r="J66" s="12">
        <f t="shared" si="1"/>
        <v>24.64</v>
      </c>
      <c r="K66" s="18">
        <f>J66 / K4</f>
        <v>1.3358073236720779E-4</v>
      </c>
    </row>
    <row r="67" spans="1:11" ht="39" customHeight="1" x14ac:dyDescent="0.2">
      <c r="A67" s="14" t="s">
        <v>212</v>
      </c>
      <c r="B67" s="14" t="s">
        <v>213</v>
      </c>
      <c r="C67" s="14" t="s">
        <v>214</v>
      </c>
      <c r="D67" s="14" t="s">
        <v>215</v>
      </c>
      <c r="E67" s="15" t="s">
        <v>93</v>
      </c>
      <c r="F67" s="16">
        <v>3</v>
      </c>
      <c r="G67" s="17">
        <v>44.45</v>
      </c>
      <c r="H67" s="17">
        <f>TRUNC(TRUNC(G67 * K5, 2) + G67, 2)</f>
        <v>56.42</v>
      </c>
      <c r="I67" s="27">
        <f t="shared" si="3"/>
        <v>46.49</v>
      </c>
      <c r="J67" s="12">
        <f t="shared" si="1"/>
        <v>139.47</v>
      </c>
      <c r="K67" s="18">
        <f>J67 / K4</f>
        <v>7.5610814704766519E-4</v>
      </c>
    </row>
    <row r="68" spans="1:11" ht="24" customHeight="1" x14ac:dyDescent="0.2">
      <c r="A68" s="14" t="s">
        <v>216</v>
      </c>
      <c r="B68" s="14" t="s">
        <v>217</v>
      </c>
      <c r="C68" s="14" t="s">
        <v>167</v>
      </c>
      <c r="D68" s="14" t="s">
        <v>218</v>
      </c>
      <c r="E68" s="15" t="s">
        <v>88</v>
      </c>
      <c r="F68" s="16">
        <v>1</v>
      </c>
      <c r="G68" s="17">
        <v>325.02999999999997</v>
      </c>
      <c r="H68" s="17">
        <f>TRUNC(TRUNC(G68 * K5, 2) + G68, 2)</f>
        <v>412.56</v>
      </c>
      <c r="I68" s="27">
        <f t="shared" si="3"/>
        <v>339.94</v>
      </c>
      <c r="J68" s="12">
        <f t="shared" si="1"/>
        <v>339.94</v>
      </c>
      <c r="K68" s="18">
        <f>J68 / K4</f>
        <v>1.8429153474394729E-3</v>
      </c>
    </row>
    <row r="69" spans="1:11" ht="24" customHeight="1" x14ac:dyDescent="0.2">
      <c r="A69" s="14" t="s">
        <v>219</v>
      </c>
      <c r="B69" s="14" t="s">
        <v>220</v>
      </c>
      <c r="C69" s="14" t="s">
        <v>221</v>
      </c>
      <c r="D69" s="14" t="s">
        <v>222</v>
      </c>
      <c r="E69" s="15" t="s">
        <v>223</v>
      </c>
      <c r="F69" s="16">
        <v>1</v>
      </c>
      <c r="G69" s="17">
        <v>71.290000000000006</v>
      </c>
      <c r="H69" s="17">
        <f>TRUNC(TRUNC(G69 * K5, 2) + G69, 2)</f>
        <v>90.48</v>
      </c>
      <c r="I69" s="27">
        <f t="shared" si="3"/>
        <v>74.55</v>
      </c>
      <c r="J69" s="12">
        <f t="shared" si="1"/>
        <v>74.55</v>
      </c>
      <c r="K69" s="18">
        <f>J69 / K4</f>
        <v>4.0415761355419398E-4</v>
      </c>
    </row>
    <row r="70" spans="1:11" ht="26.1" customHeight="1" x14ac:dyDescent="0.2">
      <c r="A70" s="14" t="s">
        <v>224</v>
      </c>
      <c r="B70" s="14" t="s">
        <v>225</v>
      </c>
      <c r="C70" s="14" t="s">
        <v>26</v>
      </c>
      <c r="D70" s="14" t="s">
        <v>226</v>
      </c>
      <c r="E70" s="15" t="s">
        <v>73</v>
      </c>
      <c r="F70" s="16">
        <v>1</v>
      </c>
      <c r="G70" s="17">
        <v>35.31</v>
      </c>
      <c r="H70" s="17">
        <f>TRUNC(TRUNC(G70 * K5, 2) + G70, 2)</f>
        <v>44.81</v>
      </c>
      <c r="I70" s="27">
        <f t="shared" si="3"/>
        <v>36.92</v>
      </c>
      <c r="J70" s="12">
        <f t="shared" si="1"/>
        <v>36.92</v>
      </c>
      <c r="K70" s="18">
        <f>J70 / K4</f>
        <v>2.0015424671255321E-4</v>
      </c>
    </row>
    <row r="71" spans="1:11" ht="26.1" customHeight="1" x14ac:dyDescent="0.2">
      <c r="A71" s="14" t="s">
        <v>227</v>
      </c>
      <c r="B71" s="14" t="s">
        <v>228</v>
      </c>
      <c r="C71" s="14" t="s">
        <v>91</v>
      </c>
      <c r="D71" s="14" t="s">
        <v>229</v>
      </c>
      <c r="E71" s="15" t="s">
        <v>186</v>
      </c>
      <c r="F71" s="16">
        <v>3</v>
      </c>
      <c r="G71" s="17">
        <v>39.94</v>
      </c>
      <c r="H71" s="17">
        <f>TRUNC(TRUNC(G71 * K5, 2) + G71, 2)</f>
        <v>50.69</v>
      </c>
      <c r="I71" s="27">
        <f t="shared" si="3"/>
        <v>41.76</v>
      </c>
      <c r="J71" s="12">
        <f t="shared" si="1"/>
        <v>125.28</v>
      </c>
      <c r="K71" s="18">
        <f>J71 / K4</f>
        <v>6.7917995742547855E-4</v>
      </c>
    </row>
    <row r="72" spans="1:11" ht="26.1" customHeight="1" x14ac:dyDescent="0.2">
      <c r="A72" s="14" t="s">
        <v>230</v>
      </c>
      <c r="B72" s="14" t="s">
        <v>231</v>
      </c>
      <c r="C72" s="14" t="s">
        <v>76</v>
      </c>
      <c r="D72" s="14" t="s">
        <v>232</v>
      </c>
      <c r="E72" s="15" t="s">
        <v>233</v>
      </c>
      <c r="F72" s="16">
        <v>4</v>
      </c>
      <c r="G72" s="17">
        <v>62.87</v>
      </c>
      <c r="H72" s="17">
        <f>TRUNC(TRUNC(G72 * K5, 2) + G72, 2)</f>
        <v>79.8</v>
      </c>
      <c r="I72" s="27">
        <f t="shared" si="3"/>
        <v>65.75</v>
      </c>
      <c r="J72" s="12">
        <f t="shared" si="1"/>
        <v>263</v>
      </c>
      <c r="K72" s="18">
        <f>J72 / K4</f>
        <v>1.4258008365493364E-3</v>
      </c>
    </row>
    <row r="73" spans="1:11" ht="26.1" customHeight="1" x14ac:dyDescent="0.2">
      <c r="A73" s="14" t="s">
        <v>234</v>
      </c>
      <c r="B73" s="14" t="s">
        <v>235</v>
      </c>
      <c r="C73" s="14" t="s">
        <v>26</v>
      </c>
      <c r="D73" s="14" t="s">
        <v>236</v>
      </c>
      <c r="E73" s="15" t="s">
        <v>88</v>
      </c>
      <c r="F73" s="16">
        <v>10</v>
      </c>
      <c r="G73" s="17">
        <v>4.83</v>
      </c>
      <c r="H73" s="17">
        <f>TRUNC(TRUNC(G73 * K5, 2) + G73, 2)</f>
        <v>6.13</v>
      </c>
      <c r="I73" s="27">
        <f t="shared" si="3"/>
        <v>5.05</v>
      </c>
      <c r="J73" s="12">
        <f t="shared" si="1"/>
        <v>50.5</v>
      </c>
      <c r="K73" s="18">
        <f>J73 / K4</f>
        <v>2.7377544580129841E-4</v>
      </c>
    </row>
    <row r="74" spans="1:11" ht="26.1" customHeight="1" x14ac:dyDescent="0.2">
      <c r="A74" s="14" t="s">
        <v>237</v>
      </c>
      <c r="B74" s="14" t="s">
        <v>238</v>
      </c>
      <c r="C74" s="14" t="s">
        <v>26</v>
      </c>
      <c r="D74" s="14" t="s">
        <v>239</v>
      </c>
      <c r="E74" s="15" t="s">
        <v>88</v>
      </c>
      <c r="F74" s="16">
        <v>5</v>
      </c>
      <c r="G74" s="17">
        <v>22.09</v>
      </c>
      <c r="H74" s="17">
        <f>TRUNC(TRUNC(G74 * K5, 2) + G74, 2)</f>
        <v>28.03</v>
      </c>
      <c r="I74" s="27">
        <f t="shared" si="3"/>
        <v>23.09</v>
      </c>
      <c r="J74" s="12">
        <f t="shared" ref="J74:J137" si="4">TRUNC(F74 * I74,2)</f>
        <v>115.45</v>
      </c>
      <c r="K74" s="18">
        <f>J74 / K4</f>
        <v>6.2588861817346338E-4</v>
      </c>
    </row>
    <row r="75" spans="1:11" ht="39" customHeight="1" x14ac:dyDescent="0.2">
      <c r="A75" s="14" t="s">
        <v>240</v>
      </c>
      <c r="B75" s="14" t="s">
        <v>241</v>
      </c>
      <c r="C75" s="14" t="s">
        <v>26</v>
      </c>
      <c r="D75" s="14" t="s">
        <v>242</v>
      </c>
      <c r="E75" s="15" t="s">
        <v>88</v>
      </c>
      <c r="F75" s="16">
        <v>1</v>
      </c>
      <c r="G75" s="17">
        <v>193.29</v>
      </c>
      <c r="H75" s="17">
        <f>TRUNC(TRUNC(G75 * K5, 2) + G75, 2)</f>
        <v>245.34</v>
      </c>
      <c r="I75" s="27">
        <f t="shared" si="3"/>
        <v>202.16</v>
      </c>
      <c r="J75" s="12">
        <f t="shared" si="4"/>
        <v>202.16</v>
      </c>
      <c r="K75" s="18">
        <f>J75 / K4</f>
        <v>1.0959691905582274E-3</v>
      </c>
    </row>
    <row r="76" spans="1:11" ht="24" customHeight="1" x14ac:dyDescent="0.2">
      <c r="A76" s="14" t="s">
        <v>243</v>
      </c>
      <c r="B76" s="14" t="s">
        <v>244</v>
      </c>
      <c r="C76" s="14" t="s">
        <v>26</v>
      </c>
      <c r="D76" s="14" t="s">
        <v>245</v>
      </c>
      <c r="E76" s="15" t="s">
        <v>88</v>
      </c>
      <c r="F76" s="16">
        <v>12</v>
      </c>
      <c r="G76" s="17">
        <v>9.39</v>
      </c>
      <c r="H76" s="17">
        <f>TRUNC(TRUNC(G76 * K5, 2) + G76, 2)</f>
        <v>11.91</v>
      </c>
      <c r="I76" s="27">
        <f t="shared" si="3"/>
        <v>9.81</v>
      </c>
      <c r="J76" s="12">
        <f t="shared" si="4"/>
        <v>117.72</v>
      </c>
      <c r="K76" s="18">
        <f>J76 / K4</f>
        <v>6.3819495999463069E-4</v>
      </c>
    </row>
    <row r="77" spans="1:11" ht="26.1" customHeight="1" x14ac:dyDescent="0.2">
      <c r="A77" s="14" t="s">
        <v>246</v>
      </c>
      <c r="B77" s="14" t="s">
        <v>247</v>
      </c>
      <c r="C77" s="14" t="s">
        <v>26</v>
      </c>
      <c r="D77" s="14" t="s">
        <v>248</v>
      </c>
      <c r="E77" s="15" t="s">
        <v>84</v>
      </c>
      <c r="F77" s="16">
        <v>200</v>
      </c>
      <c r="G77" s="17">
        <v>3.24</v>
      </c>
      <c r="H77" s="17">
        <f>TRUNC(TRUNC(G77 * K5, 2) + G77, 2)</f>
        <v>4.1100000000000003</v>
      </c>
      <c r="I77" s="27">
        <f t="shared" si="3"/>
        <v>3.38</v>
      </c>
      <c r="J77" s="12">
        <f t="shared" si="4"/>
        <v>676</v>
      </c>
      <c r="K77" s="18">
        <f>J77 / K4</f>
        <v>3.6647960665678759E-3</v>
      </c>
    </row>
    <row r="78" spans="1:11" ht="24" customHeight="1" x14ac:dyDescent="0.2">
      <c r="A78" s="14" t="s">
        <v>249</v>
      </c>
      <c r="B78" s="14" t="s">
        <v>250</v>
      </c>
      <c r="C78" s="14" t="s">
        <v>76</v>
      </c>
      <c r="D78" s="14" t="s">
        <v>251</v>
      </c>
      <c r="E78" s="15" t="s">
        <v>84</v>
      </c>
      <c r="F78" s="16">
        <v>50</v>
      </c>
      <c r="G78" s="17">
        <v>11.05</v>
      </c>
      <c r="H78" s="17">
        <f>TRUNC(TRUNC(G78 * K5, 2) + G78, 2)</f>
        <v>14.02</v>
      </c>
      <c r="I78" s="27">
        <f t="shared" si="3"/>
        <v>11.55</v>
      </c>
      <c r="J78" s="12">
        <f t="shared" si="4"/>
        <v>577.5</v>
      </c>
      <c r="K78" s="18">
        <f>J78 / K4</f>
        <v>3.1307984148564324E-3</v>
      </c>
    </row>
    <row r="79" spans="1:11" ht="26.1" customHeight="1" x14ac:dyDescent="0.2">
      <c r="A79" s="14" t="s">
        <v>252</v>
      </c>
      <c r="B79" s="14" t="s">
        <v>253</v>
      </c>
      <c r="C79" s="14" t="s">
        <v>76</v>
      </c>
      <c r="D79" s="14" t="s">
        <v>254</v>
      </c>
      <c r="E79" s="15" t="s">
        <v>88</v>
      </c>
      <c r="F79" s="16">
        <v>3</v>
      </c>
      <c r="G79" s="17">
        <v>47.5</v>
      </c>
      <c r="H79" s="17">
        <f>TRUNC(TRUNC(G79 * K5, 2) + G79, 2)</f>
        <v>60.29</v>
      </c>
      <c r="I79" s="27">
        <f t="shared" si="3"/>
        <v>49.67</v>
      </c>
      <c r="J79" s="12">
        <f t="shared" si="4"/>
        <v>149.01</v>
      </c>
      <c r="K79" s="18">
        <f>J79 / K4</f>
        <v>8.078273104723064E-4</v>
      </c>
    </row>
    <row r="80" spans="1:11" ht="24" customHeight="1" x14ac:dyDescent="0.2">
      <c r="A80" s="14" t="s">
        <v>255</v>
      </c>
      <c r="B80" s="14" t="s">
        <v>256</v>
      </c>
      <c r="C80" s="14" t="s">
        <v>76</v>
      </c>
      <c r="D80" s="14" t="s">
        <v>257</v>
      </c>
      <c r="E80" s="15" t="s">
        <v>88</v>
      </c>
      <c r="F80" s="16">
        <v>6</v>
      </c>
      <c r="G80" s="17">
        <v>18.89</v>
      </c>
      <c r="H80" s="17">
        <f>TRUNC(TRUNC(G80 * K5, 2) + G80, 2)</f>
        <v>23.97</v>
      </c>
      <c r="I80" s="27">
        <f t="shared" si="3"/>
        <v>19.75</v>
      </c>
      <c r="J80" s="12">
        <f t="shared" si="4"/>
        <v>118.5</v>
      </c>
      <c r="K80" s="18">
        <f>J80 / K4</f>
        <v>6.4242357084067056E-4</v>
      </c>
    </row>
    <row r="81" spans="1:11" ht="24" customHeight="1" x14ac:dyDescent="0.2">
      <c r="A81" s="14" t="s">
        <v>258</v>
      </c>
      <c r="B81" s="14" t="s">
        <v>259</v>
      </c>
      <c r="C81" s="14" t="s">
        <v>91</v>
      </c>
      <c r="D81" s="14" t="s">
        <v>260</v>
      </c>
      <c r="E81" s="15" t="s">
        <v>182</v>
      </c>
      <c r="F81" s="16">
        <v>50</v>
      </c>
      <c r="G81" s="17">
        <v>0.31</v>
      </c>
      <c r="H81" s="17">
        <f>TRUNC(TRUNC(G81 * K5, 2) + G81, 2)</f>
        <v>0.39</v>
      </c>
      <c r="I81" s="27">
        <f t="shared" si="3"/>
        <v>0.32</v>
      </c>
      <c r="J81" s="12">
        <f t="shared" si="4"/>
        <v>16</v>
      </c>
      <c r="K81" s="18">
        <f>J81 / K4</f>
        <v>8.6740735303381672E-5</v>
      </c>
    </row>
    <row r="82" spans="1:11" ht="39" customHeight="1" x14ac:dyDescent="0.2">
      <c r="A82" s="14" t="s">
        <v>261</v>
      </c>
      <c r="B82" s="14" t="s">
        <v>262</v>
      </c>
      <c r="C82" s="14" t="s">
        <v>26</v>
      </c>
      <c r="D82" s="14" t="s">
        <v>263</v>
      </c>
      <c r="E82" s="15" t="s">
        <v>88</v>
      </c>
      <c r="F82" s="16">
        <v>2</v>
      </c>
      <c r="G82" s="17">
        <v>28.72</v>
      </c>
      <c r="H82" s="17">
        <f>TRUNC(TRUNC(G82 * K5, 2) + G82, 2)</f>
        <v>36.450000000000003</v>
      </c>
      <c r="I82" s="27">
        <f t="shared" si="3"/>
        <v>30.03</v>
      </c>
      <c r="J82" s="12">
        <f t="shared" si="4"/>
        <v>60.06</v>
      </c>
      <c r="K82" s="18">
        <f>J82 / K4</f>
        <v>3.2560303514506898E-4</v>
      </c>
    </row>
    <row r="83" spans="1:11" ht="26.1" customHeight="1" x14ac:dyDescent="0.2">
      <c r="A83" s="14" t="s">
        <v>264</v>
      </c>
      <c r="B83" s="14" t="s">
        <v>265</v>
      </c>
      <c r="C83" s="14" t="s">
        <v>91</v>
      </c>
      <c r="D83" s="14" t="s">
        <v>266</v>
      </c>
      <c r="E83" s="15" t="s">
        <v>267</v>
      </c>
      <c r="F83" s="16">
        <v>1</v>
      </c>
      <c r="G83" s="17">
        <v>120.01</v>
      </c>
      <c r="H83" s="17">
        <f>TRUNC(TRUNC(G83 * K5, 2) + G83, 2)</f>
        <v>152.32</v>
      </c>
      <c r="I83" s="27">
        <f t="shared" si="3"/>
        <v>125.51</v>
      </c>
      <c r="J83" s="12">
        <f t="shared" si="4"/>
        <v>125.51</v>
      </c>
      <c r="K83" s="18">
        <f>J83 / K4</f>
        <v>6.8042685549546465E-4</v>
      </c>
    </row>
    <row r="84" spans="1:11" ht="24" customHeight="1" x14ac:dyDescent="0.2">
      <c r="A84" s="14" t="s">
        <v>268</v>
      </c>
      <c r="B84" s="14" t="s">
        <v>75</v>
      </c>
      <c r="C84" s="14" t="s">
        <v>76</v>
      </c>
      <c r="D84" s="14" t="s">
        <v>77</v>
      </c>
      <c r="E84" s="15" t="s">
        <v>73</v>
      </c>
      <c r="F84" s="16">
        <v>100</v>
      </c>
      <c r="G84" s="17">
        <v>1.27</v>
      </c>
      <c r="H84" s="17">
        <f>TRUNC(TRUNC(G84 * K5, 2) + G84, 2)</f>
        <v>1.61</v>
      </c>
      <c r="I84" s="27">
        <f t="shared" si="3"/>
        <v>1.32</v>
      </c>
      <c r="J84" s="12">
        <f t="shared" si="4"/>
        <v>132</v>
      </c>
      <c r="K84" s="18">
        <f>J84 / K4</f>
        <v>7.1561106625289879E-4</v>
      </c>
    </row>
    <row r="85" spans="1:11" ht="26.1" customHeight="1" x14ac:dyDescent="0.2">
      <c r="A85" s="14" t="s">
        <v>269</v>
      </c>
      <c r="B85" s="14" t="s">
        <v>117</v>
      </c>
      <c r="C85" s="14" t="s">
        <v>91</v>
      </c>
      <c r="D85" s="14" t="s">
        <v>118</v>
      </c>
      <c r="E85" s="15" t="s">
        <v>115</v>
      </c>
      <c r="F85" s="16">
        <v>8</v>
      </c>
      <c r="G85" s="17">
        <v>195</v>
      </c>
      <c r="H85" s="17">
        <f>TRUNC(TRUNC(G85 * K5, 2) + G85, 2)</f>
        <v>247.51</v>
      </c>
      <c r="I85" s="27">
        <f t="shared" si="3"/>
        <v>203.94</v>
      </c>
      <c r="J85" s="12">
        <f t="shared" si="4"/>
        <v>1631.52</v>
      </c>
      <c r="K85" s="18">
        <f>J85 / K4</f>
        <v>8.8449527788858288E-3</v>
      </c>
    </row>
    <row r="86" spans="1:11" ht="24" customHeight="1" x14ac:dyDescent="0.2">
      <c r="A86" s="14" t="s">
        <v>270</v>
      </c>
      <c r="B86" s="14" t="s">
        <v>71</v>
      </c>
      <c r="C86" s="14" t="s">
        <v>26</v>
      </c>
      <c r="D86" s="14" t="s">
        <v>72</v>
      </c>
      <c r="E86" s="15" t="s">
        <v>73</v>
      </c>
      <c r="F86" s="16">
        <v>3250</v>
      </c>
      <c r="G86" s="17">
        <v>0.9</v>
      </c>
      <c r="H86" s="17">
        <f>TRUNC(TRUNC(G86 * K5, 2) + G86, 2)</f>
        <v>1.1399999999999999</v>
      </c>
      <c r="I86" s="27">
        <f t="shared" si="3"/>
        <v>0.93</v>
      </c>
      <c r="J86" s="12">
        <f t="shared" si="4"/>
        <v>3022.5</v>
      </c>
      <c r="K86" s="18">
        <f>J86 / K4</f>
        <v>1.6385867028404444E-2</v>
      </c>
    </row>
    <row r="87" spans="1:11" ht="26.1" customHeight="1" x14ac:dyDescent="0.2">
      <c r="A87" s="14" t="s">
        <v>271</v>
      </c>
      <c r="B87" s="14" t="s">
        <v>272</v>
      </c>
      <c r="C87" s="14" t="s">
        <v>26</v>
      </c>
      <c r="D87" s="14" t="s">
        <v>273</v>
      </c>
      <c r="E87" s="15" t="s">
        <v>274</v>
      </c>
      <c r="F87" s="16">
        <v>29.28</v>
      </c>
      <c r="G87" s="17">
        <v>19.13</v>
      </c>
      <c r="H87" s="17">
        <f>TRUNC(TRUNC(G87 * K5, 2) + G87, 2)</f>
        <v>24.28</v>
      </c>
      <c r="I87" s="27">
        <f t="shared" si="3"/>
        <v>20</v>
      </c>
      <c r="J87" s="12">
        <f t="shared" si="4"/>
        <v>585.6</v>
      </c>
      <c r="K87" s="18">
        <f>J87 / K4</f>
        <v>3.1747109121037695E-3</v>
      </c>
    </row>
    <row r="88" spans="1:11" ht="39" customHeight="1" x14ac:dyDescent="0.2">
      <c r="A88" s="14" t="s">
        <v>275</v>
      </c>
      <c r="B88" s="14" t="s">
        <v>276</v>
      </c>
      <c r="C88" s="14" t="s">
        <v>26</v>
      </c>
      <c r="D88" s="14" t="s">
        <v>277</v>
      </c>
      <c r="E88" s="15" t="s">
        <v>88</v>
      </c>
      <c r="F88" s="16">
        <v>1200</v>
      </c>
      <c r="G88" s="17">
        <v>1.51</v>
      </c>
      <c r="H88" s="17">
        <f>TRUNC(TRUNC(G88 * K5, 2) + G88, 2)</f>
        <v>1.91</v>
      </c>
      <c r="I88" s="27">
        <f t="shared" ref="I88:I119" si="5">TRUNC(H88-(H88*$K$6),2)</f>
        <v>1.57</v>
      </c>
      <c r="J88" s="12">
        <f t="shared" si="4"/>
        <v>1884</v>
      </c>
      <c r="K88" s="18">
        <f>J88 / K4</f>
        <v>1.0213721581973192E-2</v>
      </c>
    </row>
    <row r="89" spans="1:11" ht="26.1" customHeight="1" x14ac:dyDescent="0.2">
      <c r="A89" s="14" t="s">
        <v>278</v>
      </c>
      <c r="B89" s="14" t="s">
        <v>279</v>
      </c>
      <c r="C89" s="14" t="s">
        <v>26</v>
      </c>
      <c r="D89" s="14" t="s">
        <v>280</v>
      </c>
      <c r="E89" s="15" t="s">
        <v>88</v>
      </c>
      <c r="F89" s="16">
        <v>1</v>
      </c>
      <c r="G89" s="17">
        <v>38.5</v>
      </c>
      <c r="H89" s="17">
        <f>TRUNC(TRUNC(G89 * K5, 2) + G89, 2)</f>
        <v>48.86</v>
      </c>
      <c r="I89" s="27">
        <f t="shared" si="5"/>
        <v>40.26</v>
      </c>
      <c r="J89" s="12">
        <f t="shared" si="4"/>
        <v>40.26</v>
      </c>
      <c r="K89" s="18">
        <f>J89 / K4</f>
        <v>2.1826137520713414E-4</v>
      </c>
    </row>
    <row r="90" spans="1:11" ht="26.1" customHeight="1" x14ac:dyDescent="0.2">
      <c r="A90" s="14" t="s">
        <v>281</v>
      </c>
      <c r="B90" s="14" t="s">
        <v>238</v>
      </c>
      <c r="C90" s="14" t="s">
        <v>26</v>
      </c>
      <c r="D90" s="14" t="s">
        <v>239</v>
      </c>
      <c r="E90" s="15" t="s">
        <v>88</v>
      </c>
      <c r="F90" s="16">
        <v>2</v>
      </c>
      <c r="G90" s="17">
        <v>22.09</v>
      </c>
      <c r="H90" s="17">
        <f>TRUNC(TRUNC(G90 * K5, 2) + G90, 2)</f>
        <v>28.03</v>
      </c>
      <c r="I90" s="27">
        <f t="shared" si="5"/>
        <v>23.09</v>
      </c>
      <c r="J90" s="12">
        <f t="shared" si="4"/>
        <v>46.18</v>
      </c>
      <c r="K90" s="18">
        <f>J90 / K4</f>
        <v>2.5035544726938539E-4</v>
      </c>
    </row>
    <row r="91" spans="1:11" ht="26.1" customHeight="1" x14ac:dyDescent="0.2">
      <c r="A91" s="14" t="s">
        <v>282</v>
      </c>
      <c r="B91" s="14" t="s">
        <v>283</v>
      </c>
      <c r="C91" s="14" t="s">
        <v>26</v>
      </c>
      <c r="D91" s="14" t="s">
        <v>284</v>
      </c>
      <c r="E91" s="15" t="s">
        <v>88</v>
      </c>
      <c r="F91" s="16">
        <v>2</v>
      </c>
      <c r="G91" s="17">
        <v>21.08</v>
      </c>
      <c r="H91" s="17">
        <f>TRUNC(TRUNC(G91 * K5, 2) + G91, 2)</f>
        <v>26.75</v>
      </c>
      <c r="I91" s="27">
        <f t="shared" si="5"/>
        <v>22.04</v>
      </c>
      <c r="J91" s="12">
        <f t="shared" si="4"/>
        <v>44.08</v>
      </c>
      <c r="K91" s="18">
        <f>J91 / K4</f>
        <v>2.3897072576081651E-4</v>
      </c>
    </row>
    <row r="92" spans="1:11" ht="26.1" customHeight="1" x14ac:dyDescent="0.2">
      <c r="A92" s="14" t="s">
        <v>285</v>
      </c>
      <c r="B92" s="14" t="s">
        <v>198</v>
      </c>
      <c r="C92" s="14" t="s">
        <v>91</v>
      </c>
      <c r="D92" s="14" t="s">
        <v>199</v>
      </c>
      <c r="E92" s="15" t="s">
        <v>186</v>
      </c>
      <c r="F92" s="16">
        <v>1.2</v>
      </c>
      <c r="G92" s="17">
        <v>92.14</v>
      </c>
      <c r="H92" s="17">
        <f>TRUNC(TRUNC(G92 * K5, 2) + G92, 2)</f>
        <v>116.95</v>
      </c>
      <c r="I92" s="27">
        <f t="shared" si="5"/>
        <v>96.36</v>
      </c>
      <c r="J92" s="12">
        <f t="shared" si="4"/>
        <v>115.63</v>
      </c>
      <c r="K92" s="18">
        <f>J92 / K4</f>
        <v>6.2686445144562641E-4</v>
      </c>
    </row>
    <row r="93" spans="1:11" ht="24" customHeight="1" x14ac:dyDescent="0.2">
      <c r="A93" s="14" t="s">
        <v>286</v>
      </c>
      <c r="B93" s="14" t="s">
        <v>287</v>
      </c>
      <c r="C93" s="14" t="s">
        <v>76</v>
      </c>
      <c r="D93" s="14" t="s">
        <v>288</v>
      </c>
      <c r="E93" s="15" t="s">
        <v>88</v>
      </c>
      <c r="F93" s="16">
        <v>1</v>
      </c>
      <c r="G93" s="17">
        <v>22.72</v>
      </c>
      <c r="H93" s="17">
        <f>TRUNC(TRUNC(G93 * K5, 2) + G93, 2)</f>
        <v>28.83</v>
      </c>
      <c r="I93" s="27">
        <f t="shared" si="5"/>
        <v>23.75</v>
      </c>
      <c r="J93" s="12">
        <f t="shared" si="4"/>
        <v>23.75</v>
      </c>
      <c r="K93" s="18">
        <f>J93 / K4</f>
        <v>1.2875577896595718E-4</v>
      </c>
    </row>
    <row r="94" spans="1:11" ht="26.1" customHeight="1" x14ac:dyDescent="0.2">
      <c r="A94" s="14" t="s">
        <v>289</v>
      </c>
      <c r="B94" s="14" t="s">
        <v>290</v>
      </c>
      <c r="C94" s="14" t="s">
        <v>76</v>
      </c>
      <c r="D94" s="14" t="s">
        <v>291</v>
      </c>
      <c r="E94" s="15" t="s">
        <v>88</v>
      </c>
      <c r="F94" s="16">
        <v>1</v>
      </c>
      <c r="G94" s="17">
        <v>103.67</v>
      </c>
      <c r="H94" s="17">
        <f>TRUNC(TRUNC(G94 * K5, 2) + G94, 2)</f>
        <v>131.58000000000001</v>
      </c>
      <c r="I94" s="27">
        <f t="shared" si="5"/>
        <v>108.42</v>
      </c>
      <c r="J94" s="12">
        <f t="shared" si="4"/>
        <v>108.42</v>
      </c>
      <c r="K94" s="18">
        <f>J94 / K4</f>
        <v>5.8777690759954004E-4</v>
      </c>
    </row>
    <row r="95" spans="1:11" ht="24" customHeight="1" x14ac:dyDescent="0.2">
      <c r="A95" s="14" t="s">
        <v>292</v>
      </c>
      <c r="B95" s="14" t="s">
        <v>293</v>
      </c>
      <c r="C95" s="14" t="s">
        <v>76</v>
      </c>
      <c r="D95" s="14" t="s">
        <v>294</v>
      </c>
      <c r="E95" s="15" t="s">
        <v>88</v>
      </c>
      <c r="F95" s="16">
        <v>1</v>
      </c>
      <c r="G95" s="17">
        <v>15.76</v>
      </c>
      <c r="H95" s="17">
        <f>TRUNC(TRUNC(G95 * K5, 2) + G95, 2)</f>
        <v>20</v>
      </c>
      <c r="I95" s="27">
        <f t="shared" si="5"/>
        <v>16.48</v>
      </c>
      <c r="J95" s="12">
        <f t="shared" si="4"/>
        <v>16.48</v>
      </c>
      <c r="K95" s="18">
        <f>J95 / K4</f>
        <v>8.9342957362483126E-5</v>
      </c>
    </row>
    <row r="96" spans="1:11" ht="24" customHeight="1" x14ac:dyDescent="0.2">
      <c r="A96" s="14" t="s">
        <v>295</v>
      </c>
      <c r="B96" s="14" t="s">
        <v>296</v>
      </c>
      <c r="C96" s="14" t="s">
        <v>153</v>
      </c>
      <c r="D96" s="14" t="s">
        <v>297</v>
      </c>
      <c r="E96" s="15" t="s">
        <v>88</v>
      </c>
      <c r="F96" s="16">
        <v>1</v>
      </c>
      <c r="G96" s="17">
        <v>1.04</v>
      </c>
      <c r="H96" s="17">
        <f>TRUNC(TRUNC(G96 * K5, 2) + G96, 2)</f>
        <v>1.32</v>
      </c>
      <c r="I96" s="27">
        <f t="shared" si="5"/>
        <v>1.08</v>
      </c>
      <c r="J96" s="12">
        <f t="shared" si="4"/>
        <v>1.08</v>
      </c>
      <c r="K96" s="18">
        <f>J96 / K4</f>
        <v>5.8549996329782631E-6</v>
      </c>
    </row>
    <row r="97" spans="1:11" ht="39" customHeight="1" x14ac:dyDescent="0.2">
      <c r="A97" s="14" t="s">
        <v>298</v>
      </c>
      <c r="B97" s="14" t="s">
        <v>299</v>
      </c>
      <c r="C97" s="14" t="s">
        <v>300</v>
      </c>
      <c r="D97" s="14" t="s">
        <v>301</v>
      </c>
      <c r="E97" s="15" t="s">
        <v>84</v>
      </c>
      <c r="F97" s="16">
        <v>0.17</v>
      </c>
      <c r="G97" s="17">
        <v>23.01</v>
      </c>
      <c r="H97" s="17">
        <f>TRUNC(TRUNC(G97 * K5, 2) + G97, 2)</f>
        <v>29.2</v>
      </c>
      <c r="I97" s="27">
        <f t="shared" si="5"/>
        <v>24.06</v>
      </c>
      <c r="J97" s="12">
        <f t="shared" si="4"/>
        <v>4.09</v>
      </c>
      <c r="K97" s="18">
        <f>J97 / K4</f>
        <v>2.2173100461926941E-5</v>
      </c>
    </row>
    <row r="98" spans="1:11" ht="24" customHeight="1" x14ac:dyDescent="0.2">
      <c r="A98" s="14" t="s">
        <v>302</v>
      </c>
      <c r="B98" s="14" t="s">
        <v>303</v>
      </c>
      <c r="C98" s="14" t="s">
        <v>26</v>
      </c>
      <c r="D98" s="14" t="s">
        <v>304</v>
      </c>
      <c r="E98" s="15" t="s">
        <v>88</v>
      </c>
      <c r="F98" s="16">
        <v>0.17499999999999999</v>
      </c>
      <c r="G98" s="17">
        <v>76.56</v>
      </c>
      <c r="H98" s="17">
        <f>TRUNC(TRUNC(G98 * K5, 2) + G98, 2)</f>
        <v>97.17</v>
      </c>
      <c r="I98" s="27">
        <f t="shared" si="5"/>
        <v>80.06</v>
      </c>
      <c r="J98" s="12">
        <f t="shared" si="4"/>
        <v>14.01</v>
      </c>
      <c r="K98" s="18">
        <f>J98 / K4</f>
        <v>7.595235635002358E-5</v>
      </c>
    </row>
    <row r="99" spans="1:11" ht="26.1" customHeight="1" x14ac:dyDescent="0.2">
      <c r="A99" s="14" t="s">
        <v>305</v>
      </c>
      <c r="B99" s="14" t="s">
        <v>306</v>
      </c>
      <c r="C99" s="14" t="s">
        <v>26</v>
      </c>
      <c r="D99" s="14" t="s">
        <v>307</v>
      </c>
      <c r="E99" s="15" t="s">
        <v>88</v>
      </c>
      <c r="F99" s="16">
        <v>1</v>
      </c>
      <c r="G99" s="17">
        <v>33.79</v>
      </c>
      <c r="H99" s="17">
        <f>TRUNC(TRUNC(G99 * K5, 2) + G99, 2)</f>
        <v>42.88</v>
      </c>
      <c r="I99" s="27">
        <f t="shared" si="5"/>
        <v>35.33</v>
      </c>
      <c r="J99" s="12">
        <f t="shared" si="4"/>
        <v>35.33</v>
      </c>
      <c r="K99" s="18">
        <f>J99 / K4</f>
        <v>1.9153438614177964E-4</v>
      </c>
    </row>
    <row r="100" spans="1:11" ht="26.1" customHeight="1" x14ac:dyDescent="0.2">
      <c r="A100" s="14" t="s">
        <v>308</v>
      </c>
      <c r="B100" s="14" t="s">
        <v>309</v>
      </c>
      <c r="C100" s="14" t="s">
        <v>76</v>
      </c>
      <c r="D100" s="14" t="s">
        <v>310</v>
      </c>
      <c r="E100" s="15" t="s">
        <v>88</v>
      </c>
      <c r="F100" s="16">
        <v>6</v>
      </c>
      <c r="G100" s="17">
        <v>60.43</v>
      </c>
      <c r="H100" s="17">
        <f>TRUNC(TRUNC(G100 * K5, 2) + G100, 2)</f>
        <v>76.7</v>
      </c>
      <c r="I100" s="27">
        <f t="shared" si="5"/>
        <v>63.2</v>
      </c>
      <c r="J100" s="12">
        <f t="shared" si="4"/>
        <v>379.2</v>
      </c>
      <c r="K100" s="18">
        <f>J100 / K4</f>
        <v>2.0557554266901457E-3</v>
      </c>
    </row>
    <row r="101" spans="1:11" ht="26.1" customHeight="1" x14ac:dyDescent="0.2">
      <c r="A101" s="14" t="s">
        <v>311</v>
      </c>
      <c r="B101" s="14" t="s">
        <v>312</v>
      </c>
      <c r="C101" s="14" t="s">
        <v>76</v>
      </c>
      <c r="D101" s="14" t="s">
        <v>313</v>
      </c>
      <c r="E101" s="15" t="s">
        <v>88</v>
      </c>
      <c r="F101" s="16">
        <v>1</v>
      </c>
      <c r="G101" s="17">
        <v>8.91</v>
      </c>
      <c r="H101" s="17">
        <f>TRUNC(TRUNC(G101 * K5, 2) + G101, 2)</f>
        <v>11.3</v>
      </c>
      <c r="I101" s="27">
        <f t="shared" si="5"/>
        <v>9.31</v>
      </c>
      <c r="J101" s="12">
        <f t="shared" si="4"/>
        <v>9.31</v>
      </c>
      <c r="K101" s="18">
        <f>J101 / K4</f>
        <v>5.0472265354655215E-5</v>
      </c>
    </row>
    <row r="102" spans="1:11" ht="24" customHeight="1" x14ac:dyDescent="0.2">
      <c r="A102" s="14" t="s">
        <v>314</v>
      </c>
      <c r="B102" s="14" t="s">
        <v>315</v>
      </c>
      <c r="C102" s="14" t="s">
        <v>316</v>
      </c>
      <c r="D102" s="14" t="s">
        <v>317</v>
      </c>
      <c r="E102" s="15" t="s">
        <v>140</v>
      </c>
      <c r="F102" s="16">
        <v>0.9</v>
      </c>
      <c r="G102" s="17">
        <v>23.32</v>
      </c>
      <c r="H102" s="17">
        <f>TRUNC(TRUNC(G102 * K5, 2) + G102, 2)</f>
        <v>29.6</v>
      </c>
      <c r="I102" s="27">
        <f t="shared" si="5"/>
        <v>24.39</v>
      </c>
      <c r="J102" s="12">
        <f t="shared" si="4"/>
        <v>21.95</v>
      </c>
      <c r="K102" s="18">
        <f>J102 / K4</f>
        <v>1.1899744624432673E-4</v>
      </c>
    </row>
    <row r="103" spans="1:11" ht="24" customHeight="1" x14ac:dyDescent="0.2">
      <c r="A103" s="14" t="s">
        <v>318</v>
      </c>
      <c r="B103" s="14" t="s">
        <v>319</v>
      </c>
      <c r="C103" s="14" t="s">
        <v>91</v>
      </c>
      <c r="D103" s="14" t="s">
        <v>320</v>
      </c>
      <c r="E103" s="15" t="s">
        <v>321</v>
      </c>
      <c r="F103" s="16">
        <v>1</v>
      </c>
      <c r="G103" s="17">
        <v>3.28</v>
      </c>
      <c r="H103" s="17">
        <f>TRUNC(TRUNC(G103 * K5, 2) + G103, 2)</f>
        <v>4.16</v>
      </c>
      <c r="I103" s="27">
        <f t="shared" si="5"/>
        <v>3.42</v>
      </c>
      <c r="J103" s="12">
        <f t="shared" si="4"/>
        <v>3.42</v>
      </c>
      <c r="K103" s="18">
        <f>J103 / K4</f>
        <v>1.8540832171097834E-5</v>
      </c>
    </row>
    <row r="104" spans="1:11" ht="26.1" customHeight="1" x14ac:dyDescent="0.2">
      <c r="A104" s="14" t="s">
        <v>322</v>
      </c>
      <c r="B104" s="14" t="s">
        <v>323</v>
      </c>
      <c r="C104" s="14" t="s">
        <v>26</v>
      </c>
      <c r="D104" s="14" t="s">
        <v>324</v>
      </c>
      <c r="E104" s="15" t="s">
        <v>88</v>
      </c>
      <c r="F104" s="16">
        <v>2</v>
      </c>
      <c r="G104" s="17">
        <v>29.95</v>
      </c>
      <c r="H104" s="17">
        <f>TRUNC(TRUNC(G104 * K5, 2) + G104, 2)</f>
        <v>38.01</v>
      </c>
      <c r="I104" s="27">
        <f t="shared" si="5"/>
        <v>31.32</v>
      </c>
      <c r="J104" s="12">
        <f t="shared" si="4"/>
        <v>62.64</v>
      </c>
      <c r="K104" s="18">
        <f>J104 / K4</f>
        <v>3.3958997871273927E-4</v>
      </c>
    </row>
    <row r="105" spans="1:11" ht="26.1" customHeight="1" x14ac:dyDescent="0.2">
      <c r="A105" s="14" t="s">
        <v>325</v>
      </c>
      <c r="B105" s="14" t="s">
        <v>326</v>
      </c>
      <c r="C105" s="14" t="s">
        <v>26</v>
      </c>
      <c r="D105" s="14" t="s">
        <v>327</v>
      </c>
      <c r="E105" s="15" t="s">
        <v>88</v>
      </c>
      <c r="F105" s="16">
        <v>1</v>
      </c>
      <c r="G105" s="17">
        <v>32.53</v>
      </c>
      <c r="H105" s="17">
        <f>TRUNC(TRUNC(G105 * K5, 2) + G105, 2)</f>
        <v>41.29</v>
      </c>
      <c r="I105" s="27">
        <f t="shared" si="5"/>
        <v>34.020000000000003</v>
      </c>
      <c r="J105" s="12">
        <f t="shared" si="4"/>
        <v>34.020000000000003</v>
      </c>
      <c r="K105" s="18">
        <f>J105 / K4</f>
        <v>1.844324884388153E-4</v>
      </c>
    </row>
    <row r="106" spans="1:11" ht="26.1" customHeight="1" x14ac:dyDescent="0.2">
      <c r="A106" s="14" t="s">
        <v>328</v>
      </c>
      <c r="B106" s="14" t="s">
        <v>329</v>
      </c>
      <c r="C106" s="14" t="s">
        <v>26</v>
      </c>
      <c r="D106" s="14" t="s">
        <v>330</v>
      </c>
      <c r="E106" s="15" t="s">
        <v>88</v>
      </c>
      <c r="F106" s="16">
        <v>1</v>
      </c>
      <c r="G106" s="17">
        <v>4.1100000000000003</v>
      </c>
      <c r="H106" s="17">
        <f>TRUNC(TRUNC(G106 * K5, 2) + G106, 2)</f>
        <v>5.21</v>
      </c>
      <c r="I106" s="27">
        <f t="shared" si="5"/>
        <v>4.29</v>
      </c>
      <c r="J106" s="12">
        <f t="shared" si="4"/>
        <v>4.29</v>
      </c>
      <c r="K106" s="18">
        <f>J106 / K4</f>
        <v>2.3257359653219212E-5</v>
      </c>
    </row>
    <row r="107" spans="1:11" ht="26.1" customHeight="1" x14ac:dyDescent="0.2">
      <c r="A107" s="14" t="s">
        <v>331</v>
      </c>
      <c r="B107" s="14" t="s">
        <v>332</v>
      </c>
      <c r="C107" s="14" t="s">
        <v>26</v>
      </c>
      <c r="D107" s="14" t="s">
        <v>333</v>
      </c>
      <c r="E107" s="15" t="s">
        <v>88</v>
      </c>
      <c r="F107" s="16">
        <v>1</v>
      </c>
      <c r="G107" s="17">
        <v>8.8000000000000007</v>
      </c>
      <c r="H107" s="17">
        <f>TRUNC(TRUNC(G107 * K5, 2) + G107, 2)</f>
        <v>11.16</v>
      </c>
      <c r="I107" s="27">
        <f t="shared" si="5"/>
        <v>9.19</v>
      </c>
      <c r="J107" s="12">
        <f t="shared" si="4"/>
        <v>9.19</v>
      </c>
      <c r="K107" s="18">
        <f>J107 / K4</f>
        <v>4.9821709839879844E-5</v>
      </c>
    </row>
    <row r="108" spans="1:11" ht="26.1" customHeight="1" x14ac:dyDescent="0.2">
      <c r="A108" s="14" t="s">
        <v>334</v>
      </c>
      <c r="B108" s="14" t="s">
        <v>335</v>
      </c>
      <c r="C108" s="14" t="s">
        <v>76</v>
      </c>
      <c r="D108" s="14" t="s">
        <v>336</v>
      </c>
      <c r="E108" s="15" t="s">
        <v>88</v>
      </c>
      <c r="F108" s="16">
        <v>2</v>
      </c>
      <c r="G108" s="17">
        <v>1.1499999999999999</v>
      </c>
      <c r="H108" s="17">
        <f>TRUNC(TRUNC(G108 * K5, 2) + G108, 2)</f>
        <v>1.45</v>
      </c>
      <c r="I108" s="27">
        <f t="shared" si="5"/>
        <v>1.19</v>
      </c>
      <c r="J108" s="12">
        <f t="shared" si="4"/>
        <v>2.38</v>
      </c>
      <c r="K108" s="18">
        <f>J108 / K4</f>
        <v>1.2902684376378023E-5</v>
      </c>
    </row>
    <row r="109" spans="1:11" ht="24" customHeight="1" x14ac:dyDescent="0.2">
      <c r="A109" s="14" t="s">
        <v>337</v>
      </c>
      <c r="B109" s="14" t="s">
        <v>338</v>
      </c>
      <c r="C109" s="14" t="s">
        <v>153</v>
      </c>
      <c r="D109" s="14" t="s">
        <v>339</v>
      </c>
      <c r="E109" s="15" t="s">
        <v>88</v>
      </c>
      <c r="F109" s="16">
        <v>1</v>
      </c>
      <c r="G109" s="17">
        <v>418.45</v>
      </c>
      <c r="H109" s="17">
        <f>TRUNC(TRUNC(G109 * K5, 2) + G109, 2)</f>
        <v>531.13</v>
      </c>
      <c r="I109" s="27">
        <f t="shared" si="5"/>
        <v>437.65</v>
      </c>
      <c r="J109" s="12">
        <f t="shared" si="4"/>
        <v>437.65</v>
      </c>
      <c r="K109" s="18">
        <f>J109 / K4</f>
        <v>2.3726301753453118E-3</v>
      </c>
    </row>
    <row r="110" spans="1:11" ht="39" customHeight="1" x14ac:dyDescent="0.2">
      <c r="A110" s="14" t="s">
        <v>340</v>
      </c>
      <c r="B110" s="14" t="s">
        <v>341</v>
      </c>
      <c r="C110" s="14" t="s">
        <v>26</v>
      </c>
      <c r="D110" s="14" t="s">
        <v>342</v>
      </c>
      <c r="E110" s="15" t="s">
        <v>88</v>
      </c>
      <c r="F110" s="16">
        <v>1</v>
      </c>
      <c r="G110" s="17">
        <v>67.89</v>
      </c>
      <c r="H110" s="17">
        <f>TRUNC(TRUNC(G110 * K5, 2) + G110, 2)</f>
        <v>86.17</v>
      </c>
      <c r="I110" s="27">
        <f t="shared" si="5"/>
        <v>71</v>
      </c>
      <c r="J110" s="12">
        <f t="shared" si="4"/>
        <v>71</v>
      </c>
      <c r="K110" s="18">
        <f>J110 / K4</f>
        <v>3.8491201290875621E-4</v>
      </c>
    </row>
    <row r="111" spans="1:11" ht="26.1" customHeight="1" x14ac:dyDescent="0.2">
      <c r="A111" s="14" t="s">
        <v>343</v>
      </c>
      <c r="B111" s="14" t="s">
        <v>344</v>
      </c>
      <c r="C111" s="14" t="s">
        <v>26</v>
      </c>
      <c r="D111" s="14" t="s">
        <v>345</v>
      </c>
      <c r="E111" s="15" t="s">
        <v>88</v>
      </c>
      <c r="F111" s="16">
        <v>1</v>
      </c>
      <c r="G111" s="17">
        <v>11.06</v>
      </c>
      <c r="H111" s="17">
        <f>TRUNC(TRUNC(G111 * K5, 2) + G111, 2)</f>
        <v>14.03</v>
      </c>
      <c r="I111" s="27">
        <f t="shared" si="5"/>
        <v>11.56</v>
      </c>
      <c r="J111" s="12">
        <f t="shared" si="4"/>
        <v>11.56</v>
      </c>
      <c r="K111" s="18">
        <f>J111 / K4</f>
        <v>6.267018125669327E-5</v>
      </c>
    </row>
    <row r="112" spans="1:11" ht="39" customHeight="1" x14ac:dyDescent="0.2">
      <c r="A112" s="14" t="s">
        <v>346</v>
      </c>
      <c r="B112" s="14" t="s">
        <v>347</v>
      </c>
      <c r="C112" s="14" t="s">
        <v>26</v>
      </c>
      <c r="D112" s="14" t="s">
        <v>348</v>
      </c>
      <c r="E112" s="15" t="s">
        <v>88</v>
      </c>
      <c r="F112" s="16">
        <v>1</v>
      </c>
      <c r="G112" s="17">
        <v>9.69</v>
      </c>
      <c r="H112" s="17">
        <f>TRUNC(TRUNC(G112 * K5, 2) + G112, 2)</f>
        <v>12.29</v>
      </c>
      <c r="I112" s="27">
        <f t="shared" si="5"/>
        <v>10.119999999999999</v>
      </c>
      <c r="J112" s="12">
        <f t="shared" si="4"/>
        <v>10.119999999999999</v>
      </c>
      <c r="K112" s="18">
        <f>J112 / K4</f>
        <v>5.4863515079388903E-5</v>
      </c>
    </row>
    <row r="113" spans="1:11" ht="24" customHeight="1" x14ac:dyDescent="0.2">
      <c r="A113" s="14" t="s">
        <v>349</v>
      </c>
      <c r="B113" s="14" t="s">
        <v>350</v>
      </c>
      <c r="C113" s="14" t="s">
        <v>76</v>
      </c>
      <c r="D113" s="14" t="s">
        <v>351</v>
      </c>
      <c r="E113" s="15" t="s">
        <v>88</v>
      </c>
      <c r="F113" s="16">
        <v>1</v>
      </c>
      <c r="G113" s="17">
        <v>82.11</v>
      </c>
      <c r="H113" s="17">
        <f>TRUNC(TRUNC(G113 * K5, 2) + G113, 2)</f>
        <v>104.22</v>
      </c>
      <c r="I113" s="27">
        <f t="shared" si="5"/>
        <v>85.87</v>
      </c>
      <c r="J113" s="12">
        <f t="shared" si="4"/>
        <v>85.87</v>
      </c>
      <c r="K113" s="18">
        <f>J113 / K4</f>
        <v>4.6552668378133658E-4</v>
      </c>
    </row>
    <row r="114" spans="1:11" ht="24" customHeight="1" x14ac:dyDescent="0.2">
      <c r="A114" s="14" t="s">
        <v>352</v>
      </c>
      <c r="B114" s="14" t="s">
        <v>159</v>
      </c>
      <c r="C114" s="14" t="s">
        <v>153</v>
      </c>
      <c r="D114" s="14" t="s">
        <v>160</v>
      </c>
      <c r="E114" s="15" t="s">
        <v>88</v>
      </c>
      <c r="F114" s="16">
        <v>2</v>
      </c>
      <c r="G114" s="17">
        <v>0.67</v>
      </c>
      <c r="H114" s="17">
        <f>TRUNC(TRUNC(G114 * K5, 2) + G114, 2)</f>
        <v>0.85</v>
      </c>
      <c r="I114" s="27">
        <f t="shared" si="5"/>
        <v>0.7</v>
      </c>
      <c r="J114" s="12">
        <f t="shared" si="4"/>
        <v>1.4</v>
      </c>
      <c r="K114" s="18">
        <f>J114 / K4</f>
        <v>7.5898143390458958E-6</v>
      </c>
    </row>
    <row r="115" spans="1:11" ht="39" customHeight="1" x14ac:dyDescent="0.2">
      <c r="A115" s="14" t="s">
        <v>353</v>
      </c>
      <c r="B115" s="14" t="s">
        <v>354</v>
      </c>
      <c r="C115" s="14" t="s">
        <v>26</v>
      </c>
      <c r="D115" s="14" t="s">
        <v>355</v>
      </c>
      <c r="E115" s="15" t="s">
        <v>88</v>
      </c>
      <c r="F115" s="16">
        <v>2</v>
      </c>
      <c r="G115" s="17">
        <v>2042.68</v>
      </c>
      <c r="H115" s="17">
        <f>TRUNC(TRUNC(G115 * K5, 2) + G115, 2)</f>
        <v>2592.77</v>
      </c>
      <c r="I115" s="27">
        <f t="shared" si="5"/>
        <v>2136.44</v>
      </c>
      <c r="J115" s="12">
        <f t="shared" si="4"/>
        <v>4272.88</v>
      </c>
      <c r="K115" s="18">
        <f>J115 / K4</f>
        <v>2.3164547066444593E-2</v>
      </c>
    </row>
    <row r="116" spans="1:11" ht="26.1" customHeight="1" x14ac:dyDescent="0.2">
      <c r="A116" s="14" t="s">
        <v>356</v>
      </c>
      <c r="B116" s="14" t="s">
        <v>357</v>
      </c>
      <c r="C116" s="14" t="s">
        <v>26</v>
      </c>
      <c r="D116" s="14" t="s">
        <v>358</v>
      </c>
      <c r="E116" s="15" t="s">
        <v>88</v>
      </c>
      <c r="F116" s="16">
        <v>1</v>
      </c>
      <c r="G116" s="17">
        <v>11.26</v>
      </c>
      <c r="H116" s="17">
        <f>TRUNC(TRUNC(G116 * K5, 2) + G116, 2)</f>
        <v>14.29</v>
      </c>
      <c r="I116" s="27">
        <f t="shared" si="5"/>
        <v>11.77</v>
      </c>
      <c r="J116" s="12">
        <f t="shared" si="4"/>
        <v>11.77</v>
      </c>
      <c r="K116" s="18">
        <f>J116 / K4</f>
        <v>6.3808653407550149E-5</v>
      </c>
    </row>
    <row r="117" spans="1:11" ht="26.1" customHeight="1" x14ac:dyDescent="0.2">
      <c r="A117" s="14" t="s">
        <v>359</v>
      </c>
      <c r="B117" s="14" t="s">
        <v>113</v>
      </c>
      <c r="C117" s="14" t="s">
        <v>91</v>
      </c>
      <c r="D117" s="14" t="s">
        <v>114</v>
      </c>
      <c r="E117" s="15" t="s">
        <v>115</v>
      </c>
      <c r="F117" s="16">
        <v>6</v>
      </c>
      <c r="G117" s="17">
        <v>195</v>
      </c>
      <c r="H117" s="17">
        <f>TRUNC(TRUNC(G117 * K5, 2) + G117, 2)</f>
        <v>247.51</v>
      </c>
      <c r="I117" s="27">
        <f t="shared" si="5"/>
        <v>203.94</v>
      </c>
      <c r="J117" s="12">
        <f t="shared" si="4"/>
        <v>1223.6400000000001</v>
      </c>
      <c r="K117" s="18">
        <f>J117 / K4</f>
        <v>6.6337145841643729E-3</v>
      </c>
    </row>
    <row r="118" spans="1:11" ht="26.1" customHeight="1" x14ac:dyDescent="0.2">
      <c r="A118" s="14" t="s">
        <v>360</v>
      </c>
      <c r="B118" s="14" t="s">
        <v>117</v>
      </c>
      <c r="C118" s="14" t="s">
        <v>91</v>
      </c>
      <c r="D118" s="14" t="s">
        <v>118</v>
      </c>
      <c r="E118" s="15" t="s">
        <v>115</v>
      </c>
      <c r="F118" s="16">
        <v>8</v>
      </c>
      <c r="G118" s="17">
        <v>195</v>
      </c>
      <c r="H118" s="17">
        <f>TRUNC(TRUNC(G118 * K5, 2) + G118, 2)</f>
        <v>247.51</v>
      </c>
      <c r="I118" s="27">
        <f t="shared" si="5"/>
        <v>203.94</v>
      </c>
      <c r="J118" s="12">
        <f t="shared" si="4"/>
        <v>1631.52</v>
      </c>
      <c r="K118" s="18">
        <f>J118 / K4</f>
        <v>8.8449527788858288E-3</v>
      </c>
    </row>
    <row r="119" spans="1:11" ht="24" customHeight="1" x14ac:dyDescent="0.2">
      <c r="A119" s="14" t="s">
        <v>361</v>
      </c>
      <c r="B119" s="14" t="s">
        <v>71</v>
      </c>
      <c r="C119" s="14" t="s">
        <v>26</v>
      </c>
      <c r="D119" s="14" t="s">
        <v>72</v>
      </c>
      <c r="E119" s="15" t="s">
        <v>73</v>
      </c>
      <c r="F119" s="16">
        <v>1750</v>
      </c>
      <c r="G119" s="17">
        <v>0.9</v>
      </c>
      <c r="H119" s="17">
        <f>TRUNC(TRUNC(G119 * K5, 2) + G119, 2)</f>
        <v>1.1399999999999999</v>
      </c>
      <c r="I119" s="27">
        <f t="shared" si="5"/>
        <v>0.93</v>
      </c>
      <c r="J119" s="12">
        <f t="shared" si="4"/>
        <v>1627.5</v>
      </c>
      <c r="K119" s="18">
        <f>J119 / K4</f>
        <v>8.8231591691408547E-3</v>
      </c>
    </row>
    <row r="120" spans="1:11" ht="39" customHeight="1" x14ac:dyDescent="0.2">
      <c r="A120" s="14" t="s">
        <v>362</v>
      </c>
      <c r="B120" s="14" t="s">
        <v>86</v>
      </c>
      <c r="C120" s="14" t="s">
        <v>26</v>
      </c>
      <c r="D120" s="14" t="s">
        <v>87</v>
      </c>
      <c r="E120" s="15" t="s">
        <v>88</v>
      </c>
      <c r="F120" s="16">
        <v>1000</v>
      </c>
      <c r="G120" s="17">
        <v>0.97</v>
      </c>
      <c r="H120" s="17">
        <f>TRUNC(TRUNC(G120 * K5, 2) + G120, 2)</f>
        <v>1.23</v>
      </c>
      <c r="I120" s="27">
        <f t="shared" ref="I120:I151" si="6">TRUNC(H120-(H120*$K$6),2)</f>
        <v>1.01</v>
      </c>
      <c r="J120" s="12">
        <f t="shared" si="4"/>
        <v>1010</v>
      </c>
      <c r="K120" s="18">
        <f>J120 / K4</f>
        <v>5.4755089160259682E-3</v>
      </c>
    </row>
    <row r="121" spans="1:11" ht="26.1" customHeight="1" x14ac:dyDescent="0.2">
      <c r="A121" s="14" t="s">
        <v>363</v>
      </c>
      <c r="B121" s="14" t="s">
        <v>364</v>
      </c>
      <c r="C121" s="14" t="s">
        <v>91</v>
      </c>
      <c r="D121" s="14" t="s">
        <v>365</v>
      </c>
      <c r="E121" s="15" t="s">
        <v>93</v>
      </c>
      <c r="F121" s="16">
        <v>1</v>
      </c>
      <c r="G121" s="17">
        <v>929</v>
      </c>
      <c r="H121" s="17">
        <f>TRUNC(TRUNC(G121 * K5, 2) + G121, 2)</f>
        <v>1179.17</v>
      </c>
      <c r="I121" s="27">
        <f t="shared" si="6"/>
        <v>971.63</v>
      </c>
      <c r="J121" s="12">
        <f t="shared" si="4"/>
        <v>971.63</v>
      </c>
      <c r="K121" s="18">
        <f>J121 / K4</f>
        <v>5.2674937901765464E-3</v>
      </c>
    </row>
    <row r="122" spans="1:11" ht="24" customHeight="1" x14ac:dyDescent="0.2">
      <c r="A122" s="14" t="s">
        <v>366</v>
      </c>
      <c r="B122" s="14" t="s">
        <v>75</v>
      </c>
      <c r="C122" s="14" t="s">
        <v>76</v>
      </c>
      <c r="D122" s="14" t="s">
        <v>77</v>
      </c>
      <c r="E122" s="15" t="s">
        <v>73</v>
      </c>
      <c r="F122" s="16">
        <v>200</v>
      </c>
      <c r="G122" s="17">
        <v>1.27</v>
      </c>
      <c r="H122" s="17">
        <f>TRUNC(TRUNC(G122 * K5, 2) + G122, 2)</f>
        <v>1.61</v>
      </c>
      <c r="I122" s="27">
        <f t="shared" si="6"/>
        <v>1.32</v>
      </c>
      <c r="J122" s="12">
        <f t="shared" si="4"/>
        <v>264</v>
      </c>
      <c r="K122" s="18">
        <f>J122 / K4</f>
        <v>1.4312221325057976E-3</v>
      </c>
    </row>
    <row r="123" spans="1:11" ht="24" customHeight="1" x14ac:dyDescent="0.2">
      <c r="A123" s="14" t="s">
        <v>367</v>
      </c>
      <c r="B123" s="14" t="s">
        <v>368</v>
      </c>
      <c r="C123" s="14" t="s">
        <v>369</v>
      </c>
      <c r="D123" s="14" t="s">
        <v>370</v>
      </c>
      <c r="E123" s="15" t="s">
        <v>115</v>
      </c>
      <c r="F123" s="16">
        <v>4</v>
      </c>
      <c r="G123" s="17">
        <v>209.21</v>
      </c>
      <c r="H123" s="17">
        <f>TRUNC(TRUNC(G123 * K5, 2) + G123, 2)</f>
        <v>265.55</v>
      </c>
      <c r="I123" s="27">
        <f t="shared" si="6"/>
        <v>218.81</v>
      </c>
      <c r="J123" s="12">
        <f t="shared" si="4"/>
        <v>875.24</v>
      </c>
      <c r="K123" s="18">
        <f>J123 / K4</f>
        <v>4.7449350729332363E-3</v>
      </c>
    </row>
    <row r="124" spans="1:11" ht="24" customHeight="1" x14ac:dyDescent="0.2">
      <c r="A124" s="14" t="s">
        <v>371</v>
      </c>
      <c r="B124" s="14" t="s">
        <v>372</v>
      </c>
      <c r="C124" s="14" t="s">
        <v>373</v>
      </c>
      <c r="D124" s="14" t="s">
        <v>374</v>
      </c>
      <c r="E124" s="15" t="s">
        <v>115</v>
      </c>
      <c r="F124" s="16">
        <v>4</v>
      </c>
      <c r="G124" s="17">
        <v>178.86</v>
      </c>
      <c r="H124" s="17">
        <f>TRUNC(TRUNC(G124 * K5, 2) + G124, 2)</f>
        <v>227.02</v>
      </c>
      <c r="I124" s="27">
        <f t="shared" si="6"/>
        <v>187.06</v>
      </c>
      <c r="J124" s="12">
        <f t="shared" si="4"/>
        <v>748.24</v>
      </c>
      <c r="K124" s="18">
        <f>J124 / K4</f>
        <v>4.0564304864626442E-3</v>
      </c>
    </row>
    <row r="125" spans="1:11" ht="24" customHeight="1" x14ac:dyDescent="0.2">
      <c r="A125" s="14" t="s">
        <v>375</v>
      </c>
      <c r="B125" s="14" t="s">
        <v>376</v>
      </c>
      <c r="C125" s="14" t="s">
        <v>369</v>
      </c>
      <c r="D125" s="14" t="s">
        <v>377</v>
      </c>
      <c r="E125" s="15" t="s">
        <v>115</v>
      </c>
      <c r="F125" s="16">
        <v>9</v>
      </c>
      <c r="G125" s="17">
        <v>195.84</v>
      </c>
      <c r="H125" s="17">
        <f>TRUNC(TRUNC(G125 * K5, 2) + G125, 2)</f>
        <v>248.57</v>
      </c>
      <c r="I125" s="27">
        <f t="shared" si="6"/>
        <v>204.82</v>
      </c>
      <c r="J125" s="12">
        <f t="shared" si="4"/>
        <v>1843.38</v>
      </c>
      <c r="K125" s="18">
        <f>J125 / K4</f>
        <v>9.9935085402217318E-3</v>
      </c>
    </row>
    <row r="126" spans="1:11" ht="24" customHeight="1" x14ac:dyDescent="0.2">
      <c r="A126" s="14" t="s">
        <v>378</v>
      </c>
      <c r="B126" s="14" t="s">
        <v>71</v>
      </c>
      <c r="C126" s="14" t="s">
        <v>26</v>
      </c>
      <c r="D126" s="14" t="s">
        <v>72</v>
      </c>
      <c r="E126" s="15" t="s">
        <v>73</v>
      </c>
      <c r="F126" s="16">
        <v>1300</v>
      </c>
      <c r="G126" s="17">
        <v>0.9</v>
      </c>
      <c r="H126" s="17">
        <f>TRUNC(TRUNC(G126 * K5, 2) + G126, 2)</f>
        <v>1.1399999999999999</v>
      </c>
      <c r="I126" s="27">
        <f t="shared" si="6"/>
        <v>0.93</v>
      </c>
      <c r="J126" s="12">
        <f t="shared" si="4"/>
        <v>1209</v>
      </c>
      <c r="K126" s="18">
        <f>J126 / K4</f>
        <v>6.5543468113617781E-3</v>
      </c>
    </row>
    <row r="127" spans="1:11" ht="39" customHeight="1" x14ac:dyDescent="0.2">
      <c r="A127" s="14" t="s">
        <v>379</v>
      </c>
      <c r="B127" s="14" t="s">
        <v>86</v>
      </c>
      <c r="C127" s="14" t="s">
        <v>26</v>
      </c>
      <c r="D127" s="14" t="s">
        <v>87</v>
      </c>
      <c r="E127" s="15" t="s">
        <v>88</v>
      </c>
      <c r="F127" s="16">
        <v>1000</v>
      </c>
      <c r="G127" s="17">
        <v>0.97</v>
      </c>
      <c r="H127" s="17">
        <f>TRUNC(TRUNC(G127 * K5, 2) + G127, 2)</f>
        <v>1.23</v>
      </c>
      <c r="I127" s="27">
        <f t="shared" si="6"/>
        <v>1.01</v>
      </c>
      <c r="J127" s="12">
        <f t="shared" si="4"/>
        <v>1010</v>
      </c>
      <c r="K127" s="18">
        <f>J127 / K4</f>
        <v>5.4755089160259682E-3</v>
      </c>
    </row>
    <row r="128" spans="1:11" ht="26.1" customHeight="1" x14ac:dyDescent="0.2">
      <c r="A128" s="14" t="s">
        <v>380</v>
      </c>
      <c r="B128" s="14" t="s">
        <v>381</v>
      </c>
      <c r="C128" s="14" t="s">
        <v>26</v>
      </c>
      <c r="D128" s="14" t="s">
        <v>382</v>
      </c>
      <c r="E128" s="15" t="s">
        <v>88</v>
      </c>
      <c r="F128" s="16">
        <v>5</v>
      </c>
      <c r="G128" s="17">
        <v>6.69</v>
      </c>
      <c r="H128" s="17">
        <f>TRUNC(TRUNC(G128 * K5, 2) + G128, 2)</f>
        <v>8.49</v>
      </c>
      <c r="I128" s="27">
        <f t="shared" si="6"/>
        <v>6.99</v>
      </c>
      <c r="J128" s="12">
        <f t="shared" si="4"/>
        <v>34.950000000000003</v>
      </c>
      <c r="K128" s="18">
        <f>J128 / K4</f>
        <v>1.8947429367832436E-4</v>
      </c>
    </row>
    <row r="129" spans="1:11" ht="26.1" customHeight="1" x14ac:dyDescent="0.2">
      <c r="A129" s="14" t="s">
        <v>383</v>
      </c>
      <c r="B129" s="14" t="s">
        <v>384</v>
      </c>
      <c r="C129" s="14" t="s">
        <v>300</v>
      </c>
      <c r="D129" s="14" t="s">
        <v>385</v>
      </c>
      <c r="E129" s="15" t="s">
        <v>88</v>
      </c>
      <c r="F129" s="16">
        <v>3</v>
      </c>
      <c r="G129" s="17">
        <v>166.35</v>
      </c>
      <c r="H129" s="17">
        <f>TRUNC(TRUNC(G129 * K5, 2) + G129, 2)</f>
        <v>211.14</v>
      </c>
      <c r="I129" s="27">
        <f t="shared" si="6"/>
        <v>173.97</v>
      </c>
      <c r="J129" s="12">
        <f t="shared" si="4"/>
        <v>521.91</v>
      </c>
      <c r="K129" s="18">
        <f>J129 / K4</f>
        <v>2.8294285726367455E-3</v>
      </c>
    </row>
    <row r="130" spans="1:11" ht="26.1" customHeight="1" x14ac:dyDescent="0.2">
      <c r="A130" s="14" t="s">
        <v>386</v>
      </c>
      <c r="B130" s="14" t="s">
        <v>387</v>
      </c>
      <c r="C130" s="14" t="s">
        <v>195</v>
      </c>
      <c r="D130" s="14" t="s">
        <v>388</v>
      </c>
      <c r="E130" s="15" t="s">
        <v>93</v>
      </c>
      <c r="F130" s="16">
        <v>8</v>
      </c>
      <c r="G130" s="17">
        <v>10.99</v>
      </c>
      <c r="H130" s="17">
        <f>TRUNC(TRUNC(G130 * K5, 2) + G130, 2)</f>
        <v>13.94</v>
      </c>
      <c r="I130" s="27">
        <f t="shared" si="6"/>
        <v>11.48</v>
      </c>
      <c r="J130" s="12">
        <f t="shared" si="4"/>
        <v>91.84</v>
      </c>
      <c r="K130" s="18">
        <f>J130 / K4</f>
        <v>4.9789182064141082E-4</v>
      </c>
    </row>
    <row r="131" spans="1:11" ht="24" customHeight="1" x14ac:dyDescent="0.2">
      <c r="A131" s="14" t="s">
        <v>389</v>
      </c>
      <c r="B131" s="14" t="s">
        <v>71</v>
      </c>
      <c r="C131" s="14" t="s">
        <v>26</v>
      </c>
      <c r="D131" s="14" t="s">
        <v>72</v>
      </c>
      <c r="E131" s="15" t="s">
        <v>73</v>
      </c>
      <c r="F131" s="16">
        <v>1500</v>
      </c>
      <c r="G131" s="17">
        <v>0.9</v>
      </c>
      <c r="H131" s="17">
        <f>TRUNC(TRUNC(G131 * K5, 2) + G131, 2)</f>
        <v>1.1399999999999999</v>
      </c>
      <c r="I131" s="27">
        <f t="shared" si="6"/>
        <v>0.93</v>
      </c>
      <c r="J131" s="12">
        <f t="shared" si="4"/>
        <v>1395</v>
      </c>
      <c r="K131" s="18">
        <f>J131 / K4</f>
        <v>7.5627078592635901E-3</v>
      </c>
    </row>
    <row r="132" spans="1:11" ht="24" customHeight="1" x14ac:dyDescent="0.2">
      <c r="A132" s="14" t="s">
        <v>390</v>
      </c>
      <c r="B132" s="14" t="s">
        <v>391</v>
      </c>
      <c r="C132" s="14" t="s">
        <v>26</v>
      </c>
      <c r="D132" s="14" t="s">
        <v>392</v>
      </c>
      <c r="E132" s="15" t="s">
        <v>88</v>
      </c>
      <c r="F132" s="16">
        <v>3</v>
      </c>
      <c r="G132" s="17">
        <v>16.809999999999999</v>
      </c>
      <c r="H132" s="17">
        <f>TRUNC(TRUNC(G132 * K5, 2) + G132, 2)</f>
        <v>21.33</v>
      </c>
      <c r="I132" s="27">
        <f t="shared" si="6"/>
        <v>17.57</v>
      </c>
      <c r="J132" s="12">
        <f t="shared" si="4"/>
        <v>52.71</v>
      </c>
      <c r="K132" s="18">
        <f>J132 / K4</f>
        <v>2.8575650986507802E-4</v>
      </c>
    </row>
    <row r="133" spans="1:11" ht="39" customHeight="1" x14ac:dyDescent="0.2">
      <c r="A133" s="14" t="s">
        <v>393</v>
      </c>
      <c r="B133" s="14" t="s">
        <v>86</v>
      </c>
      <c r="C133" s="14" t="s">
        <v>26</v>
      </c>
      <c r="D133" s="14" t="s">
        <v>87</v>
      </c>
      <c r="E133" s="15" t="s">
        <v>88</v>
      </c>
      <c r="F133" s="16">
        <v>3</v>
      </c>
      <c r="G133" s="17">
        <v>0.97</v>
      </c>
      <c r="H133" s="17">
        <f>TRUNC(TRUNC(G133 * K5, 2) + G133, 2)</f>
        <v>1.23</v>
      </c>
      <c r="I133" s="27">
        <f t="shared" si="6"/>
        <v>1.01</v>
      </c>
      <c r="J133" s="12">
        <f t="shared" si="4"/>
        <v>3.03</v>
      </c>
      <c r="K133" s="18">
        <f>J133 / K4</f>
        <v>1.6426526748077904E-5</v>
      </c>
    </row>
    <row r="134" spans="1:11" ht="24" customHeight="1" x14ac:dyDescent="0.2">
      <c r="A134" s="14" t="s">
        <v>394</v>
      </c>
      <c r="B134" s="14" t="s">
        <v>395</v>
      </c>
      <c r="C134" s="14" t="s">
        <v>26</v>
      </c>
      <c r="D134" s="14" t="s">
        <v>396</v>
      </c>
      <c r="E134" s="15" t="s">
        <v>140</v>
      </c>
      <c r="F134" s="16">
        <v>90</v>
      </c>
      <c r="G134" s="17">
        <v>7.51</v>
      </c>
      <c r="H134" s="17">
        <f>TRUNC(TRUNC(G134 * K5, 2) + G134, 2)</f>
        <v>9.5299999999999994</v>
      </c>
      <c r="I134" s="27">
        <f t="shared" si="6"/>
        <v>7.85</v>
      </c>
      <c r="J134" s="12">
        <f t="shared" si="4"/>
        <v>706.5</v>
      </c>
      <c r="K134" s="18">
        <f>J134 / K4</f>
        <v>3.8301455932399473E-3</v>
      </c>
    </row>
    <row r="135" spans="1:11" ht="26.1" customHeight="1" x14ac:dyDescent="0.2">
      <c r="A135" s="14" t="s">
        <v>397</v>
      </c>
      <c r="B135" s="14" t="s">
        <v>398</v>
      </c>
      <c r="C135" s="14" t="s">
        <v>26</v>
      </c>
      <c r="D135" s="14" t="s">
        <v>399</v>
      </c>
      <c r="E135" s="15" t="s">
        <v>88</v>
      </c>
      <c r="F135" s="16">
        <v>2</v>
      </c>
      <c r="G135" s="17">
        <v>59.07</v>
      </c>
      <c r="H135" s="17">
        <f>TRUNC(TRUNC(G135 * K5, 2) + G135, 2)</f>
        <v>74.97</v>
      </c>
      <c r="I135" s="27">
        <f t="shared" si="6"/>
        <v>61.77</v>
      </c>
      <c r="J135" s="12">
        <f t="shared" si="4"/>
        <v>123.54</v>
      </c>
      <c r="K135" s="18">
        <f>J135 / K4</f>
        <v>6.6974690246123577E-4</v>
      </c>
    </row>
    <row r="136" spans="1:11" ht="24" customHeight="1" x14ac:dyDescent="0.2">
      <c r="A136" s="14" t="s">
        <v>400</v>
      </c>
      <c r="B136" s="14" t="s">
        <v>401</v>
      </c>
      <c r="C136" s="14" t="s">
        <v>316</v>
      </c>
      <c r="D136" s="14" t="s">
        <v>402</v>
      </c>
      <c r="E136" s="15" t="s">
        <v>88</v>
      </c>
      <c r="F136" s="16">
        <v>2</v>
      </c>
      <c r="G136" s="17">
        <v>25.15</v>
      </c>
      <c r="H136" s="17">
        <f>TRUNC(TRUNC(G136 * K5, 2) + G136, 2)</f>
        <v>31.92</v>
      </c>
      <c r="I136" s="27">
        <f t="shared" si="6"/>
        <v>26.3</v>
      </c>
      <c r="J136" s="12">
        <f t="shared" si="4"/>
        <v>52.6</v>
      </c>
      <c r="K136" s="18">
        <f>J136 / K4</f>
        <v>2.8516016730986726E-4</v>
      </c>
    </row>
    <row r="137" spans="1:11" ht="26.1" customHeight="1" x14ac:dyDescent="0.2">
      <c r="A137" s="14" t="s">
        <v>403</v>
      </c>
      <c r="B137" s="14" t="s">
        <v>404</v>
      </c>
      <c r="C137" s="14" t="s">
        <v>26</v>
      </c>
      <c r="D137" s="14" t="s">
        <v>405</v>
      </c>
      <c r="E137" s="15" t="s">
        <v>140</v>
      </c>
      <c r="F137" s="16">
        <v>1.6</v>
      </c>
      <c r="G137" s="17">
        <v>76.55</v>
      </c>
      <c r="H137" s="17">
        <f>TRUNC(TRUNC(G137 * K5, 2) + G137, 2)</f>
        <v>97.16</v>
      </c>
      <c r="I137" s="27">
        <f t="shared" si="6"/>
        <v>80.05</v>
      </c>
      <c r="J137" s="12">
        <f t="shared" si="4"/>
        <v>128.08000000000001</v>
      </c>
      <c r="K137" s="18">
        <f>J137 / K4</f>
        <v>6.9435958610357038E-4</v>
      </c>
    </row>
    <row r="138" spans="1:11" ht="26.1" customHeight="1" x14ac:dyDescent="0.2">
      <c r="A138" s="14" t="s">
        <v>406</v>
      </c>
      <c r="B138" s="14" t="s">
        <v>407</v>
      </c>
      <c r="C138" s="14" t="s">
        <v>26</v>
      </c>
      <c r="D138" s="14" t="s">
        <v>408</v>
      </c>
      <c r="E138" s="15" t="s">
        <v>88</v>
      </c>
      <c r="F138" s="16">
        <v>2</v>
      </c>
      <c r="G138" s="17">
        <v>11.76</v>
      </c>
      <c r="H138" s="17">
        <f>TRUNC(TRUNC(G138 * K5, 2) + G138, 2)</f>
        <v>14.92</v>
      </c>
      <c r="I138" s="27">
        <f t="shared" si="6"/>
        <v>12.29</v>
      </c>
      <c r="J138" s="12">
        <f t="shared" ref="J138:J164" si="7">TRUNC(F138 * I138,2)</f>
        <v>24.58</v>
      </c>
      <c r="K138" s="18">
        <f>J138 / K4</f>
        <v>1.332554546098201E-4</v>
      </c>
    </row>
    <row r="139" spans="1:11" ht="26.1" customHeight="1" x14ac:dyDescent="0.2">
      <c r="A139" s="14" t="s">
        <v>409</v>
      </c>
      <c r="B139" s="14" t="s">
        <v>410</v>
      </c>
      <c r="C139" s="14" t="s">
        <v>26</v>
      </c>
      <c r="D139" s="14" t="s">
        <v>411</v>
      </c>
      <c r="E139" s="15" t="s">
        <v>88</v>
      </c>
      <c r="F139" s="16">
        <v>1</v>
      </c>
      <c r="G139" s="17">
        <v>12.98</v>
      </c>
      <c r="H139" s="17">
        <f>TRUNC(TRUNC(G139 * K5, 2) + G139, 2)</f>
        <v>16.47</v>
      </c>
      <c r="I139" s="27">
        <f t="shared" si="6"/>
        <v>13.57</v>
      </c>
      <c r="J139" s="12">
        <f t="shared" si="7"/>
        <v>13.57</v>
      </c>
      <c r="K139" s="18">
        <f>J139 / K4</f>
        <v>7.3566986129180585E-5</v>
      </c>
    </row>
    <row r="140" spans="1:11" ht="39" customHeight="1" x14ac:dyDescent="0.2">
      <c r="A140" s="14" t="s">
        <v>412</v>
      </c>
      <c r="B140" s="14" t="s">
        <v>413</v>
      </c>
      <c r="C140" s="14" t="s">
        <v>167</v>
      </c>
      <c r="D140" s="14" t="s">
        <v>414</v>
      </c>
      <c r="E140" s="15" t="s">
        <v>88</v>
      </c>
      <c r="F140" s="16">
        <v>1</v>
      </c>
      <c r="G140" s="17">
        <v>80.88</v>
      </c>
      <c r="H140" s="17">
        <f>TRUNC(TRUNC(G140 * K5, 2) + G140, 2)</f>
        <v>102.66</v>
      </c>
      <c r="I140" s="27">
        <f t="shared" si="6"/>
        <v>84.59</v>
      </c>
      <c r="J140" s="12">
        <f t="shared" si="7"/>
        <v>84.59</v>
      </c>
      <c r="K140" s="18">
        <f>J140 / K4</f>
        <v>4.58587424957066E-4</v>
      </c>
    </row>
    <row r="141" spans="1:11" ht="39" customHeight="1" x14ac:dyDescent="0.2">
      <c r="A141" s="14" t="s">
        <v>415</v>
      </c>
      <c r="B141" s="14" t="s">
        <v>416</v>
      </c>
      <c r="C141" s="14" t="s">
        <v>167</v>
      </c>
      <c r="D141" s="14" t="s">
        <v>417</v>
      </c>
      <c r="E141" s="15" t="s">
        <v>88</v>
      </c>
      <c r="F141" s="16">
        <v>2</v>
      </c>
      <c r="G141" s="17">
        <v>118.16</v>
      </c>
      <c r="H141" s="17">
        <f>TRUNC(TRUNC(G141 * K5, 2) + G141, 2)</f>
        <v>149.97999999999999</v>
      </c>
      <c r="I141" s="27">
        <f t="shared" si="6"/>
        <v>123.58</v>
      </c>
      <c r="J141" s="12">
        <f t="shared" si="7"/>
        <v>247.16</v>
      </c>
      <c r="K141" s="18">
        <f>J141 / K4</f>
        <v>1.3399275085989883E-3</v>
      </c>
    </row>
    <row r="142" spans="1:11" ht="24" customHeight="1" x14ac:dyDescent="0.2">
      <c r="A142" s="14" t="s">
        <v>418</v>
      </c>
      <c r="B142" s="14" t="s">
        <v>419</v>
      </c>
      <c r="C142" s="14" t="s">
        <v>91</v>
      </c>
      <c r="D142" s="14" t="s">
        <v>420</v>
      </c>
      <c r="E142" s="15" t="s">
        <v>182</v>
      </c>
      <c r="F142" s="16">
        <v>3</v>
      </c>
      <c r="G142" s="17">
        <v>39.42</v>
      </c>
      <c r="H142" s="17">
        <f>TRUNC(TRUNC(G142 * K5, 2) + G142, 2)</f>
        <v>50.03</v>
      </c>
      <c r="I142" s="27">
        <f t="shared" si="6"/>
        <v>41.22</v>
      </c>
      <c r="J142" s="12">
        <f t="shared" si="7"/>
        <v>123.66</v>
      </c>
      <c r="K142" s="18">
        <f>J142 / K4</f>
        <v>6.7039745797601116E-4</v>
      </c>
    </row>
    <row r="143" spans="1:11" ht="24" customHeight="1" x14ac:dyDescent="0.2">
      <c r="A143" s="14" t="s">
        <v>421</v>
      </c>
      <c r="B143" s="14" t="s">
        <v>422</v>
      </c>
      <c r="C143" s="14" t="s">
        <v>26</v>
      </c>
      <c r="D143" s="14" t="s">
        <v>423</v>
      </c>
      <c r="E143" s="15" t="s">
        <v>88</v>
      </c>
      <c r="F143" s="16">
        <v>6</v>
      </c>
      <c r="G143" s="17">
        <v>0.25</v>
      </c>
      <c r="H143" s="17">
        <f>TRUNC(TRUNC(G143 * K5, 2) + G143, 2)</f>
        <v>0.31</v>
      </c>
      <c r="I143" s="27">
        <f t="shared" si="6"/>
        <v>0.25</v>
      </c>
      <c r="J143" s="12">
        <f t="shared" si="7"/>
        <v>1.5</v>
      </c>
      <c r="K143" s="18">
        <f>J143 / K4</f>
        <v>8.1319439346920314E-6</v>
      </c>
    </row>
    <row r="144" spans="1:11" ht="24" customHeight="1" x14ac:dyDescent="0.2">
      <c r="A144" s="14" t="s">
        <v>424</v>
      </c>
      <c r="B144" s="14" t="s">
        <v>425</v>
      </c>
      <c r="C144" s="14" t="s">
        <v>76</v>
      </c>
      <c r="D144" s="14" t="s">
        <v>426</v>
      </c>
      <c r="E144" s="15" t="s">
        <v>88</v>
      </c>
      <c r="F144" s="16">
        <v>6</v>
      </c>
      <c r="G144" s="17">
        <v>0.19</v>
      </c>
      <c r="H144" s="17">
        <f>TRUNC(TRUNC(G144 * K5, 2) + G144, 2)</f>
        <v>0.24</v>
      </c>
      <c r="I144" s="27">
        <f t="shared" si="6"/>
        <v>0.19</v>
      </c>
      <c r="J144" s="12">
        <f t="shared" si="7"/>
        <v>1.1399999999999999</v>
      </c>
      <c r="K144" s="18">
        <f>J144 / K4</f>
        <v>6.1802773903659439E-6</v>
      </c>
    </row>
    <row r="145" spans="1:11" ht="26.1" customHeight="1" x14ac:dyDescent="0.2">
      <c r="A145" s="14" t="s">
        <v>427</v>
      </c>
      <c r="B145" s="14" t="s">
        <v>428</v>
      </c>
      <c r="C145" s="14" t="s">
        <v>76</v>
      </c>
      <c r="D145" s="14" t="s">
        <v>429</v>
      </c>
      <c r="E145" s="15" t="s">
        <v>88</v>
      </c>
      <c r="F145" s="16">
        <v>1</v>
      </c>
      <c r="G145" s="17">
        <v>106.9</v>
      </c>
      <c r="H145" s="17">
        <f>TRUNC(TRUNC(G145 * K5, 2) + G145, 2)</f>
        <v>135.68</v>
      </c>
      <c r="I145" s="27">
        <f t="shared" si="6"/>
        <v>111.8</v>
      </c>
      <c r="J145" s="12">
        <f t="shared" si="7"/>
        <v>111.8</v>
      </c>
      <c r="K145" s="18">
        <f>J145 / K4</f>
        <v>6.0610088793237947E-4</v>
      </c>
    </row>
    <row r="146" spans="1:11" ht="39" customHeight="1" x14ac:dyDescent="0.2">
      <c r="A146" s="14" t="s">
        <v>430</v>
      </c>
      <c r="B146" s="14" t="s">
        <v>413</v>
      </c>
      <c r="C146" s="14" t="s">
        <v>167</v>
      </c>
      <c r="D146" s="14" t="s">
        <v>414</v>
      </c>
      <c r="E146" s="15" t="s">
        <v>88</v>
      </c>
      <c r="F146" s="16">
        <v>1</v>
      </c>
      <c r="G146" s="17">
        <v>80.88</v>
      </c>
      <c r="H146" s="17">
        <f>TRUNC(TRUNC(G146 * K5, 2) + G146, 2)</f>
        <v>102.66</v>
      </c>
      <c r="I146" s="27">
        <f t="shared" si="6"/>
        <v>84.59</v>
      </c>
      <c r="J146" s="12">
        <f t="shared" si="7"/>
        <v>84.59</v>
      </c>
      <c r="K146" s="18">
        <f>J146 / K4</f>
        <v>4.58587424957066E-4</v>
      </c>
    </row>
    <row r="147" spans="1:11" ht="26.1" customHeight="1" x14ac:dyDescent="0.2">
      <c r="A147" s="14" t="s">
        <v>431</v>
      </c>
      <c r="B147" s="14" t="s">
        <v>432</v>
      </c>
      <c r="C147" s="14" t="s">
        <v>76</v>
      </c>
      <c r="D147" s="14" t="s">
        <v>433</v>
      </c>
      <c r="E147" s="15" t="s">
        <v>88</v>
      </c>
      <c r="F147" s="16">
        <v>2</v>
      </c>
      <c r="G147" s="17">
        <v>129.59</v>
      </c>
      <c r="H147" s="17">
        <f>TRUNC(TRUNC(G147 * K5, 2) + G147, 2)</f>
        <v>164.48</v>
      </c>
      <c r="I147" s="27">
        <f t="shared" si="6"/>
        <v>135.53</v>
      </c>
      <c r="J147" s="12">
        <f t="shared" si="7"/>
        <v>271.06</v>
      </c>
      <c r="K147" s="18">
        <f>J147 / K4</f>
        <v>1.4694964819584148E-3</v>
      </c>
    </row>
    <row r="148" spans="1:11" ht="24" customHeight="1" x14ac:dyDescent="0.2">
      <c r="A148" s="14" t="s">
        <v>434</v>
      </c>
      <c r="B148" s="14" t="s">
        <v>435</v>
      </c>
      <c r="C148" s="14" t="s">
        <v>153</v>
      </c>
      <c r="D148" s="14" t="s">
        <v>436</v>
      </c>
      <c r="E148" s="15" t="s">
        <v>88</v>
      </c>
      <c r="F148" s="16">
        <v>6</v>
      </c>
      <c r="G148" s="17">
        <v>0.08</v>
      </c>
      <c r="H148" s="17">
        <f>TRUNC(TRUNC(G148 * K5, 2) + G148, 2)</f>
        <v>0.1</v>
      </c>
      <c r="I148" s="27">
        <f t="shared" si="6"/>
        <v>0.08</v>
      </c>
      <c r="J148" s="12">
        <f t="shared" si="7"/>
        <v>0.48</v>
      </c>
      <c r="K148" s="18">
        <f>J148 / K4</f>
        <v>2.6022220591014503E-6</v>
      </c>
    </row>
    <row r="149" spans="1:11" ht="24" customHeight="1" x14ac:dyDescent="0.2">
      <c r="A149" s="14" t="s">
        <v>437</v>
      </c>
      <c r="B149" s="14" t="s">
        <v>438</v>
      </c>
      <c r="C149" s="14" t="s">
        <v>167</v>
      </c>
      <c r="D149" s="14" t="s">
        <v>439</v>
      </c>
      <c r="E149" s="15" t="s">
        <v>88</v>
      </c>
      <c r="F149" s="16">
        <v>4</v>
      </c>
      <c r="G149" s="17">
        <v>1.49</v>
      </c>
      <c r="H149" s="17">
        <f>TRUNC(TRUNC(G149 * K5, 2) + G149, 2)</f>
        <v>1.89</v>
      </c>
      <c r="I149" s="27">
        <f t="shared" si="6"/>
        <v>1.55</v>
      </c>
      <c r="J149" s="12">
        <f t="shared" si="7"/>
        <v>6.2</v>
      </c>
      <c r="K149" s="18">
        <f>J149 / K4</f>
        <v>3.36120349300604E-5</v>
      </c>
    </row>
    <row r="150" spans="1:11" ht="26.1" customHeight="1" x14ac:dyDescent="0.2">
      <c r="A150" s="14" t="s">
        <v>440</v>
      </c>
      <c r="B150" s="14" t="s">
        <v>441</v>
      </c>
      <c r="C150" s="14" t="s">
        <v>76</v>
      </c>
      <c r="D150" s="14" t="s">
        <v>442</v>
      </c>
      <c r="E150" s="15" t="s">
        <v>88</v>
      </c>
      <c r="F150" s="16">
        <v>5</v>
      </c>
      <c r="G150" s="17">
        <v>999</v>
      </c>
      <c r="H150" s="17">
        <f>TRUNC(TRUNC(G150 * K5, 2) + G150, 2)</f>
        <v>1268.03</v>
      </c>
      <c r="I150" s="27">
        <f t="shared" si="6"/>
        <v>1044.8499999999999</v>
      </c>
      <c r="J150" s="12">
        <f t="shared" si="7"/>
        <v>5224.25</v>
      </c>
      <c r="K150" s="18">
        <f>J150 / K4</f>
        <v>2.8322205400543234E-2</v>
      </c>
    </row>
    <row r="151" spans="1:11" ht="24" customHeight="1" x14ac:dyDescent="0.2">
      <c r="A151" s="14" t="s">
        <v>443</v>
      </c>
      <c r="B151" s="14" t="s">
        <v>444</v>
      </c>
      <c r="C151" s="14" t="s">
        <v>91</v>
      </c>
      <c r="D151" s="14" t="s">
        <v>445</v>
      </c>
      <c r="E151" s="15" t="s">
        <v>93</v>
      </c>
      <c r="F151" s="16">
        <v>8</v>
      </c>
      <c r="G151" s="17">
        <v>472.15</v>
      </c>
      <c r="H151" s="17">
        <f>TRUNC(TRUNC(G151 * K5, 2) + G151, 2)</f>
        <v>599.29</v>
      </c>
      <c r="I151" s="27">
        <f t="shared" si="6"/>
        <v>493.81</v>
      </c>
      <c r="J151" s="12">
        <f t="shared" si="7"/>
        <v>3950.48</v>
      </c>
      <c r="K151" s="18">
        <f>J151 / K4</f>
        <v>2.1416721250081452E-2</v>
      </c>
    </row>
    <row r="152" spans="1:11" ht="26.1" customHeight="1" x14ac:dyDescent="0.2">
      <c r="A152" s="14" t="s">
        <v>446</v>
      </c>
      <c r="B152" s="14" t="s">
        <v>447</v>
      </c>
      <c r="C152" s="14" t="s">
        <v>214</v>
      </c>
      <c r="D152" s="14" t="s">
        <v>448</v>
      </c>
      <c r="E152" s="15" t="s">
        <v>93</v>
      </c>
      <c r="F152" s="16">
        <v>10</v>
      </c>
      <c r="G152" s="17">
        <v>515.79</v>
      </c>
      <c r="H152" s="17">
        <f>TRUNC(TRUNC(G152 * K5, 2) + G152, 2)</f>
        <v>654.69000000000005</v>
      </c>
      <c r="I152" s="27">
        <f t="shared" ref="I152:I183" si="8">TRUNC(H152-(H152*$K$6),2)</f>
        <v>539.46</v>
      </c>
      <c r="J152" s="12">
        <f t="shared" si="7"/>
        <v>5394.6</v>
      </c>
      <c r="K152" s="18">
        <f>J152 / K4</f>
        <v>2.9245723166726426E-2</v>
      </c>
    </row>
    <row r="153" spans="1:11" ht="26.1" customHeight="1" x14ac:dyDescent="0.2">
      <c r="A153" s="14" t="s">
        <v>449</v>
      </c>
      <c r="B153" s="14" t="s">
        <v>450</v>
      </c>
      <c r="C153" s="14" t="s">
        <v>153</v>
      </c>
      <c r="D153" s="14" t="s">
        <v>451</v>
      </c>
      <c r="E153" s="15" t="s">
        <v>452</v>
      </c>
      <c r="F153" s="16">
        <v>2</v>
      </c>
      <c r="G153" s="17">
        <v>6.26</v>
      </c>
      <c r="H153" s="17">
        <f>TRUNC(TRUNC(G153 * K5, 2) + G153, 2)</f>
        <v>7.94</v>
      </c>
      <c r="I153" s="27">
        <f t="shared" si="8"/>
        <v>6.54</v>
      </c>
      <c r="J153" s="12">
        <f t="shared" si="7"/>
        <v>13.08</v>
      </c>
      <c r="K153" s="18">
        <f>J153 / K4</f>
        <v>7.0910551110514521E-5</v>
      </c>
    </row>
    <row r="154" spans="1:11" ht="24" customHeight="1" x14ac:dyDescent="0.2">
      <c r="A154" s="14" t="s">
        <v>453</v>
      </c>
      <c r="B154" s="14" t="s">
        <v>454</v>
      </c>
      <c r="C154" s="14" t="s">
        <v>76</v>
      </c>
      <c r="D154" s="14" t="s">
        <v>455</v>
      </c>
      <c r="E154" s="15" t="s">
        <v>88</v>
      </c>
      <c r="F154" s="16">
        <v>4</v>
      </c>
      <c r="G154" s="17">
        <v>29.78</v>
      </c>
      <c r="H154" s="17">
        <f>TRUNC(TRUNC(G154 * K5, 2) + G154, 2)</f>
        <v>37.79</v>
      </c>
      <c r="I154" s="27">
        <f t="shared" si="8"/>
        <v>31.13</v>
      </c>
      <c r="J154" s="12">
        <f t="shared" si="7"/>
        <v>124.52</v>
      </c>
      <c r="K154" s="18">
        <f>J154 / K4</f>
        <v>6.7505977249856792E-4</v>
      </c>
    </row>
    <row r="155" spans="1:11" ht="24" customHeight="1" x14ac:dyDescent="0.2">
      <c r="A155" s="14" t="s">
        <v>456</v>
      </c>
      <c r="B155" s="14" t="s">
        <v>457</v>
      </c>
      <c r="C155" s="14" t="s">
        <v>76</v>
      </c>
      <c r="D155" s="14" t="s">
        <v>458</v>
      </c>
      <c r="E155" s="15" t="s">
        <v>88</v>
      </c>
      <c r="F155" s="16">
        <v>1</v>
      </c>
      <c r="G155" s="17">
        <v>3.5</v>
      </c>
      <c r="H155" s="17">
        <f>TRUNC(TRUNC(G155 * K5, 2) + G155, 2)</f>
        <v>4.4400000000000004</v>
      </c>
      <c r="I155" s="27">
        <f t="shared" si="8"/>
        <v>3.65</v>
      </c>
      <c r="J155" s="12">
        <f t="shared" si="7"/>
        <v>3.65</v>
      </c>
      <c r="K155" s="18">
        <f>J155 / K4</f>
        <v>1.9787730241083943E-5</v>
      </c>
    </row>
    <row r="156" spans="1:11" ht="24" customHeight="1" x14ac:dyDescent="0.2">
      <c r="A156" s="14" t="s">
        <v>459</v>
      </c>
      <c r="B156" s="14" t="s">
        <v>460</v>
      </c>
      <c r="C156" s="14" t="s">
        <v>76</v>
      </c>
      <c r="D156" s="14" t="s">
        <v>461</v>
      </c>
      <c r="E156" s="15" t="s">
        <v>88</v>
      </c>
      <c r="F156" s="16">
        <v>3</v>
      </c>
      <c r="G156" s="17">
        <v>10.9</v>
      </c>
      <c r="H156" s="17">
        <f>TRUNC(TRUNC(G156 * K5, 2) + G156, 2)</f>
        <v>13.83</v>
      </c>
      <c r="I156" s="27">
        <f t="shared" si="8"/>
        <v>11.39</v>
      </c>
      <c r="J156" s="12">
        <f t="shared" si="7"/>
        <v>34.17</v>
      </c>
      <c r="K156" s="18">
        <f>J156 / K4</f>
        <v>1.8524568283228451E-4</v>
      </c>
    </row>
    <row r="157" spans="1:11" ht="24" customHeight="1" x14ac:dyDescent="0.2">
      <c r="A157" s="14" t="s">
        <v>462</v>
      </c>
      <c r="B157" s="14" t="s">
        <v>220</v>
      </c>
      <c r="C157" s="14" t="s">
        <v>221</v>
      </c>
      <c r="D157" s="14" t="s">
        <v>222</v>
      </c>
      <c r="E157" s="15" t="s">
        <v>223</v>
      </c>
      <c r="F157" s="16">
        <v>4</v>
      </c>
      <c r="G157" s="17">
        <v>71.290000000000006</v>
      </c>
      <c r="H157" s="17">
        <f>TRUNC(TRUNC(G157 * K5, 2) + G157, 2)</f>
        <v>90.48</v>
      </c>
      <c r="I157" s="27">
        <f t="shared" si="8"/>
        <v>74.55</v>
      </c>
      <c r="J157" s="12">
        <f t="shared" si="7"/>
        <v>298.2</v>
      </c>
      <c r="K157" s="18">
        <f>J157 / K4</f>
        <v>1.6166304542167759E-3</v>
      </c>
    </row>
    <row r="158" spans="1:11" ht="24" customHeight="1" x14ac:dyDescent="0.2">
      <c r="A158" s="14" t="s">
        <v>463</v>
      </c>
      <c r="B158" s="14" t="s">
        <v>464</v>
      </c>
      <c r="C158" s="14" t="s">
        <v>76</v>
      </c>
      <c r="D158" s="14" t="s">
        <v>465</v>
      </c>
      <c r="E158" s="15" t="s">
        <v>88</v>
      </c>
      <c r="F158" s="16">
        <v>3</v>
      </c>
      <c r="G158" s="17">
        <v>6.79</v>
      </c>
      <c r="H158" s="17">
        <f>TRUNC(TRUNC(G158 * K5, 2) + G158, 2)</f>
        <v>8.61</v>
      </c>
      <c r="I158" s="27">
        <f t="shared" si="8"/>
        <v>7.09</v>
      </c>
      <c r="J158" s="12">
        <f t="shared" si="7"/>
        <v>21.27</v>
      </c>
      <c r="K158" s="18">
        <f>J158 / K4</f>
        <v>1.1531096499393301E-4</v>
      </c>
    </row>
    <row r="159" spans="1:11" ht="24" customHeight="1" x14ac:dyDescent="0.2">
      <c r="A159" s="5" t="s">
        <v>466</v>
      </c>
      <c r="B159" s="5" t="s">
        <v>22</v>
      </c>
      <c r="C159" s="5"/>
      <c r="D159" s="5" t="s">
        <v>467</v>
      </c>
      <c r="E159" s="6"/>
      <c r="F159" s="7"/>
      <c r="G159" s="7"/>
      <c r="H159" s="8"/>
      <c r="I159" s="26"/>
      <c r="J159" s="8">
        <f>SUM(J160:J164)</f>
        <v>17557.48</v>
      </c>
      <c r="K159" s="9">
        <f>J159 / K4</f>
        <v>9.51842953296511E-2</v>
      </c>
    </row>
    <row r="160" spans="1:11" ht="24" customHeight="1" x14ac:dyDescent="0.2">
      <c r="A160" s="14" t="s">
        <v>468</v>
      </c>
      <c r="B160" s="14" t="s">
        <v>469</v>
      </c>
      <c r="C160" s="14" t="s">
        <v>91</v>
      </c>
      <c r="D160" s="14" t="s">
        <v>470</v>
      </c>
      <c r="E160" s="15" t="s">
        <v>471</v>
      </c>
      <c r="F160" s="16">
        <v>416</v>
      </c>
      <c r="G160" s="17">
        <v>13.18</v>
      </c>
      <c r="H160" s="17">
        <f>TRUNC(TRUNC(G160 * K5, 2) + G160, 2)</f>
        <v>16.72</v>
      </c>
      <c r="I160" s="27">
        <f>TRUNC(H160-(H160*$K$6),2)</f>
        <v>13.77</v>
      </c>
      <c r="J160" s="12">
        <f t="shared" si="7"/>
        <v>5728.32</v>
      </c>
      <c r="K160" s="18">
        <f>J160 / K4</f>
        <v>3.1054918053316706E-2</v>
      </c>
    </row>
    <row r="161" spans="1:11" ht="24" customHeight="1" x14ac:dyDescent="0.2">
      <c r="A161" s="14" t="s">
        <v>472</v>
      </c>
      <c r="B161" s="14" t="s">
        <v>473</v>
      </c>
      <c r="C161" s="14" t="s">
        <v>91</v>
      </c>
      <c r="D161" s="14" t="s">
        <v>474</v>
      </c>
      <c r="E161" s="15" t="s">
        <v>471</v>
      </c>
      <c r="F161" s="16">
        <v>416</v>
      </c>
      <c r="G161" s="17">
        <v>10.56</v>
      </c>
      <c r="H161" s="17">
        <f>TRUNC(TRUNC(G161 * K5, 2) + G161, 2)</f>
        <v>13.4</v>
      </c>
      <c r="I161" s="27">
        <f>TRUNC(H161-(H161*$K$6),2)</f>
        <v>11.04</v>
      </c>
      <c r="J161" s="12">
        <f t="shared" si="7"/>
        <v>4592.6400000000003</v>
      </c>
      <c r="K161" s="18">
        <f>J161 / K4</f>
        <v>2.4898060661482677E-2</v>
      </c>
    </row>
    <row r="162" spans="1:11" ht="26.1" customHeight="1" x14ac:dyDescent="0.2">
      <c r="A162" s="14" t="s">
        <v>475</v>
      </c>
      <c r="B162" s="14" t="s">
        <v>476</v>
      </c>
      <c r="C162" s="14" t="s">
        <v>26</v>
      </c>
      <c r="D162" s="14" t="s">
        <v>477</v>
      </c>
      <c r="E162" s="15" t="s">
        <v>478</v>
      </c>
      <c r="F162" s="16">
        <v>15</v>
      </c>
      <c r="G162" s="17">
        <v>284.85000000000002</v>
      </c>
      <c r="H162" s="17">
        <f>TRUNC(TRUNC(G162 * K5, 2) + G162, 2)</f>
        <v>361.56</v>
      </c>
      <c r="I162" s="27">
        <f>TRUNC(H162-(H162*$K$6),2)</f>
        <v>297.92</v>
      </c>
      <c r="J162" s="12">
        <f t="shared" si="7"/>
        <v>4468.8</v>
      </c>
      <c r="K162" s="18">
        <f>J162 / K4</f>
        <v>2.4226687370234503E-2</v>
      </c>
    </row>
    <row r="163" spans="1:11" ht="26.1" customHeight="1" x14ac:dyDescent="0.2">
      <c r="A163" s="14" t="s">
        <v>479</v>
      </c>
      <c r="B163" s="14" t="s">
        <v>480</v>
      </c>
      <c r="C163" s="14" t="s">
        <v>26</v>
      </c>
      <c r="D163" s="14" t="s">
        <v>481</v>
      </c>
      <c r="E163" s="15" t="s">
        <v>478</v>
      </c>
      <c r="F163" s="16">
        <v>15</v>
      </c>
      <c r="G163" s="17">
        <v>170.49</v>
      </c>
      <c r="H163" s="17">
        <f>TRUNC(TRUNC(G163 * K5, 2) + G163, 2)</f>
        <v>216.4</v>
      </c>
      <c r="I163" s="27">
        <f>TRUNC(H163-(H163*$K$6),2)</f>
        <v>178.31</v>
      </c>
      <c r="J163" s="12">
        <f t="shared" si="7"/>
        <v>2674.65</v>
      </c>
      <c r="K163" s="18">
        <f>J163 / K4</f>
        <v>1.4500069229949362E-2</v>
      </c>
    </row>
    <row r="164" spans="1:11" ht="24" customHeight="1" x14ac:dyDescent="0.2">
      <c r="A164" s="14" t="s">
        <v>482</v>
      </c>
      <c r="B164" s="14" t="s">
        <v>483</v>
      </c>
      <c r="C164" s="14" t="s">
        <v>91</v>
      </c>
      <c r="D164" s="14" t="s">
        <v>484</v>
      </c>
      <c r="E164" s="15" t="s">
        <v>485</v>
      </c>
      <c r="F164" s="16">
        <v>1</v>
      </c>
      <c r="G164" s="17">
        <v>89</v>
      </c>
      <c r="H164" s="17">
        <f>TRUNC(TRUNC(G164 * K5, 2) + G164, 2)</f>
        <v>112.96</v>
      </c>
      <c r="I164" s="27">
        <f>TRUNC(H164-(H164*$K$6),2)</f>
        <v>93.07</v>
      </c>
      <c r="J164" s="12">
        <f t="shared" si="7"/>
        <v>93.07</v>
      </c>
      <c r="K164" s="18">
        <f>J164 / K4</f>
        <v>5.0456001466785822E-4</v>
      </c>
    </row>
    <row r="165" spans="1:11" x14ac:dyDescent="0.2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</row>
    <row r="166" spans="1:11" x14ac:dyDescent="0.2">
      <c r="A166" s="29"/>
      <c r="B166" s="29"/>
      <c r="C166" s="29"/>
      <c r="D166" s="24"/>
      <c r="E166" s="21"/>
      <c r="F166" s="30" t="s">
        <v>486</v>
      </c>
      <c r="G166" s="29"/>
      <c r="H166" s="31">
        <f>J8+J23+J159</f>
        <v>184457.74000000002</v>
      </c>
      <c r="I166" s="31"/>
      <c r="J166" s="29"/>
      <c r="K166" s="29"/>
    </row>
    <row r="167" spans="1:11" ht="60" customHeight="1" x14ac:dyDescent="0.2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</row>
    <row r="168" spans="1:11" ht="69.95" customHeight="1" x14ac:dyDescent="0.2">
      <c r="A168" s="32" t="s">
        <v>489</v>
      </c>
      <c r="B168" s="33"/>
      <c r="C168" s="33"/>
      <c r="D168" s="33"/>
      <c r="E168" s="33"/>
      <c r="F168" s="33"/>
      <c r="G168" s="33"/>
      <c r="H168" s="33"/>
      <c r="I168" s="33"/>
      <c r="J168" s="33"/>
      <c r="K168" s="33"/>
    </row>
  </sheetData>
  <mergeCells count="14">
    <mergeCell ref="A3:K3"/>
    <mergeCell ref="E1:F1"/>
    <mergeCell ref="G1:H1"/>
    <mergeCell ref="J1:K1"/>
    <mergeCell ref="E2:F2"/>
    <mergeCell ref="G2:H2"/>
    <mergeCell ref="J2:K2"/>
    <mergeCell ref="A166:C166"/>
    <mergeCell ref="F166:G166"/>
    <mergeCell ref="H166:K166"/>
    <mergeCell ref="A168:K168"/>
    <mergeCell ref="H4:I4"/>
    <mergeCell ref="H5:I5"/>
    <mergeCell ref="H6:I6"/>
  </mergeCells>
  <pageMargins left="0.5" right="0.5" top="1" bottom="1" header="0.5" footer="0.5"/>
  <pageSetup paperSize="9" scale="67" fitToHeight="0" orientation="landscape" r:id="rId1"/>
  <headerFooter>
    <oddHeader>&amp;L &amp;C &amp;R</oddHeader>
    <oddFooter>&amp;L &amp;C &amp;R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Orçamento Sintético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Allison Souto</cp:lastModifiedBy>
  <cp:revision>0</cp:revision>
  <cp:lastPrinted>2026-08-21T18:25:39Z</cp:lastPrinted>
  <dcterms:created xsi:type="dcterms:W3CDTF">2026-08-21T17:49:56Z</dcterms:created>
  <dcterms:modified xsi:type="dcterms:W3CDTF">2026-08-21T18:25:49Z</dcterms:modified>
</cp:coreProperties>
</file>